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drawings/drawing1.xml" ContentType="application/vnd.openxmlformats-officedocument.drawing+xml"/>
  <Override PartName="/xl/chartsheets/sheet2.xml" ContentType="application/vnd.openxmlformats-officedocument.spreadsheetml.chartsheet+xml"/>
  <Override PartName="/xl/drawings/drawing2.xml" ContentType="application/vnd.openxmlformats-officedocument.drawing+xml"/>
  <Override PartName="/xl/chartsheets/sheet3.xml" ContentType="application/vnd.openxmlformats-officedocument.spreadsheetml.chartsheet+xml"/>
  <Override PartName="/xl/drawings/drawing3.xml" ContentType="application/vnd.openxmlformats-officedocument.drawing+xml"/>
  <Override PartName="/xl/chartsheets/sheet4.xml" ContentType="application/vnd.openxmlformats-officedocument.spreadsheetml.chartsheet+xml"/>
  <Override PartName="/xl/drawings/drawing4.xml" ContentType="application/vnd.openxmlformats-officedocument.drawing+xml"/>
  <Override PartName="/xl/chartsheets/sheet5.xml" ContentType="application/vnd.openxmlformats-officedocument.spreadsheetml.chart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4400" yWindow="0" windowWidth="14400" windowHeight="15600" tabRatio="600" firstSheet="1" activeTab="1" autoFilterDateGrouping="1"/>
  </bookViews>
  <sheets>
    <sheet name="Data Entry" sheetId="1" state="hidden" r:id="rId1"/>
    <sheet name="Data Entry 1" sheetId="2" state="visible" r:id="rId2"/>
    <sheet name="Session by Session" sheetId="3" state="hidden" r:id="rId3"/>
    <sheet name="Rate" sheetId="4" state="visible" r:id="rId4"/>
    <sheet name="Combined Power Ups" sheetId="5" state="visible" r:id="rId5"/>
    <sheet name="Rate of Reinf" sheetId="6" state="visible" r:id="rId6"/>
    <sheet name="Asteroids hit" sheetId="7" state="visible" r:id="rId7"/>
    <sheet name="All Power Ups" sheetId="8" state="visible" r:id="rId8"/>
    <sheet name="Sheet2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1" fillId="4" borderId="1" pivotButton="0" quotePrefix="0" xfId="0"/>
    <xf numFmtId="0" fontId="1" fillId="0" borderId="1" pivotButton="0" quotePrefix="0" xfId="0"/>
    <xf numFmtId="0" fontId="0" fillId="4" borderId="1" pivotButton="0" quotePrefix="0" xfId="0"/>
    <xf numFmtId="0" fontId="0" fillId="4" borderId="0" pivotButton="0" quotePrefix="0" xfId="0"/>
    <xf numFmtId="0" fontId="0" fillId="4" borderId="1" applyAlignment="1" pivotButton="0" quotePrefix="0" xfId="0">
      <alignment horizontal="center"/>
    </xf>
    <xf numFmtId="0" fontId="0" fillId="5" borderId="1" pivotButton="0" quotePrefix="0" xfId="0"/>
    <xf numFmtId="0" fontId="0" fillId="0" borderId="3" applyAlignment="1" pivotButton="0" quotePrefix="0" xfId="0">
      <alignment horizontal="center"/>
    </xf>
    <xf numFmtId="0" fontId="0" fillId="5" borderId="0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6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0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chartsheet" Target="/xl/chartsheets/sheet1.xml" Id="rId4" /><Relationship Type="http://schemas.openxmlformats.org/officeDocument/2006/relationships/chartsheet" Target="/xl/chartsheets/sheet2.xml" Id="rId5" /><Relationship Type="http://schemas.openxmlformats.org/officeDocument/2006/relationships/chartsheet" Target="/xl/chartsheets/sheet3.xml" Id="rId6" /><Relationship Type="http://schemas.openxmlformats.org/officeDocument/2006/relationships/chartsheet" Target="/xl/chartsheets/sheet4.xml" Id="rId7" /><Relationship Type="http://schemas.openxmlformats.org/officeDocument/2006/relationships/chartsheet" Target="/xl/chartsheets/sheet5.xml" Id="rId8" /><Relationship Type="http://schemas.openxmlformats.org/officeDocument/2006/relationships/worksheet" Target="/xl/worksheets/sheet4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9694291637210919"/>
          <y val="0.0626490166528572"/>
          <w val="0.8373791818848"/>
          <h val="0.807333273193552"/>
        </manualLayout>
      </layout>
      <scatterChart>
        <scatterStyle val="lineMarker"/>
        <varyColors val="0"/>
        <ser>
          <idx val="0"/>
          <order val="0"/>
          <tx>
            <v xml:space="preserve">Target </v>
          </tx>
          <spPr>
            <a:ln w="12700">
              <a:solidFill>
                <a:schemeClr val="tx1"/>
              </a:solidFill>
              <a:prstDash val="solid"/>
            </a:ln>
          </spPr>
          <marker>
            <symbol val="circle"/>
            <size val="6"/>
            <spPr>
              <a:solidFill>
                <a:schemeClr val="bg1"/>
              </a:solidFill>
              <a:ln>
                <a:solidFill>
                  <a:prstClr val="black"/>
                </a:solidFill>
                <a:prstDash val="solid"/>
              </a:ln>
            </spPr>
          </marker>
          <dPt>
            <idx val="3"/>
            <bubble3D val="0"/>
            <spPr>
              <a:ln w="12700">
                <a:solidFill>
                  <a:schemeClr val="tx1"/>
                </a:solidFill>
                <a:prstDash val="solid"/>
              </a:ln>
            </spPr>
          </dPt>
          <dPt>
            <idx val="4"/>
            <bubble3D val="0"/>
            <spPr>
              <a:ln w="12700">
                <a:noFill/>
                <a:prstDash val="solid"/>
              </a:ln>
            </spPr>
          </dPt>
          <dPt>
            <idx val="6"/>
            <bubble3D val="0"/>
            <spPr>
              <a:ln w="12700">
                <a:solidFill>
                  <a:schemeClr val="tx1"/>
                </a:solidFill>
                <a:prstDash val="solid"/>
              </a:ln>
            </spPr>
          </dPt>
          <dPt>
            <idx val="7"/>
            <bubble3D val="0"/>
            <spPr>
              <a:ln w="12700">
                <a:noFill/>
                <a:prstDash val="solid"/>
              </a:ln>
            </spPr>
          </dPt>
          <dPt>
            <idx val="9"/>
            <bubble3D val="0"/>
            <spPr>
              <a:ln w="12700">
                <a:noFill/>
                <a:prstDash val="solid"/>
              </a:ln>
            </spPr>
          </dPt>
          <dPt>
            <idx val="10"/>
            <bubble3D val="0"/>
            <spPr>
              <a:ln w="12700">
                <a:noFill/>
                <a:prstDash val="solid"/>
              </a:ln>
            </spPr>
          </dPt>
          <dLbls>
            <dLbl>
              <idx val="2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showLegendKey val="0"/>
            <showVal val="0"/>
            <showCatName val="0"/>
            <showSerName val="0"/>
            <showPercent val="0"/>
            <showBubbleSize val="0"/>
          </dLbls>
          <yVal>
            <numRef>
              <f>'Data Entry 1'!$R$4:$R$76</f>
              <numCache>
                <formatCode>General</formatCode>
                <ptCount val="73"/>
                <pt idx="0">
                  <v>25</v>
                </pt>
                <pt idx="1">
                  <v>44</v>
                </pt>
                <pt idx="2">
                  <v>16</v>
                </pt>
                <pt idx="3">
                  <v>36</v>
                </pt>
                <pt idx="4">
                  <v>3</v>
                </pt>
                <pt idx="5">
                  <v>0</v>
                </pt>
                <pt idx="6">
                  <v>0</v>
                </pt>
                <pt idx="7">
                  <v>8</v>
                </pt>
                <pt idx="8">
                  <v>0</v>
                </pt>
                <pt idx="9">
                  <v>0</v>
                </pt>
                <pt idx="10">
                  <v>#N/A</v>
                </pt>
                <pt idx="11">
                  <v>#N/A</v>
                </pt>
                <pt idx="12">
                  <v>#N/A</v>
                </pt>
                <pt idx="13">
                  <v>#N/A</v>
                </pt>
                <pt idx="14">
                  <v>#N/A</v>
                </pt>
                <pt idx="15">
                  <v>#N/A</v>
                </pt>
                <pt idx="16">
                  <v>#N/A</v>
                </pt>
                <pt idx="17">
                  <v>#N/A</v>
                </pt>
                <pt idx="18">
                  <v>#N/A</v>
                </pt>
                <pt idx="19">
                  <v>#N/A</v>
                </pt>
                <pt idx="20">
                  <v>#N/A</v>
                </pt>
                <pt idx="21">
                  <v>#N/A</v>
                </pt>
                <pt idx="22">
                  <v>#N/A</v>
                </pt>
                <pt idx="23">
                  <v>#N/A</v>
                </pt>
                <pt idx="24">
                  <v>#N/A</v>
                </pt>
                <pt idx="25">
                  <v>#N/A</v>
                </pt>
                <pt idx="26">
                  <v>#N/A</v>
                </pt>
                <pt idx="27">
                  <v>#N/A</v>
                </pt>
                <pt idx="28">
                  <v>#N/A</v>
                </pt>
                <pt idx="29">
                  <v>#N/A</v>
                </pt>
                <pt idx="30">
                  <v>#N/A</v>
                </pt>
                <pt idx="31">
                  <v>#N/A</v>
                </pt>
                <pt idx="32">
                  <v>#N/A</v>
                </pt>
                <pt idx="33">
                  <v>#N/A</v>
                </pt>
                <pt idx="34">
                  <v>#N/A</v>
                </pt>
                <pt idx="35">
                  <v>#N/A</v>
                </pt>
                <pt idx="36">
                  <v>#N/A</v>
                </pt>
                <pt idx="37">
                  <v>#N/A</v>
                </pt>
                <pt idx="38">
                  <v>#N/A</v>
                </pt>
                <pt idx="39">
                  <v>#N/A</v>
                </pt>
                <pt idx="40">
                  <v>#N/A</v>
                </pt>
                <pt idx="41">
                  <v>#N/A</v>
                </pt>
                <pt idx="42">
                  <v>#N/A</v>
                </pt>
                <pt idx="43">
                  <v>#N/A</v>
                </pt>
                <pt idx="44">
                  <v>#N/A</v>
                </pt>
                <pt idx="45">
                  <v>#N/A</v>
                </pt>
                <pt idx="46">
                  <v>#N/A</v>
                </pt>
                <pt idx="47">
                  <v>#N/A</v>
                </pt>
                <pt idx="48">
                  <v>#N/A</v>
                </pt>
                <pt idx="49">
                  <v>#N/A</v>
                </pt>
                <pt idx="50">
                  <v>#N/A</v>
                </pt>
                <pt idx="51">
                  <v>#N/A</v>
                </pt>
                <pt idx="52">
                  <v>#N/A</v>
                </pt>
                <pt idx="53">
                  <v>#N/A</v>
                </pt>
                <pt idx="54">
                  <v>#N/A</v>
                </pt>
                <pt idx="55">
                  <v>#N/A</v>
                </pt>
                <pt idx="56">
                  <v>#N/A</v>
                </pt>
                <pt idx="57">
                  <v>#N/A</v>
                </pt>
                <pt idx="58">
                  <v>#N/A</v>
                </pt>
                <pt idx="59">
                  <v>#N/A</v>
                </pt>
                <pt idx="60">
                  <v>#N/A</v>
                </pt>
                <pt idx="61">
                  <v>#N/A</v>
                </pt>
                <pt idx="62">
                  <v>#N/A</v>
                </pt>
                <pt idx="63">
                  <v>#N/A</v>
                </pt>
                <pt idx="64">
                  <v>#N/A</v>
                </pt>
                <pt idx="65">
                  <v>#N/A</v>
                </pt>
                <pt idx="66">
                  <v>#N/A</v>
                </pt>
                <pt idx="67">
                  <v>#N/A</v>
                </pt>
                <pt idx="68">
                  <v>#N/A</v>
                </pt>
                <pt idx="69">
                  <v>#N/A</v>
                </pt>
                <pt idx="70">
                  <v>#N/A</v>
                </pt>
                <pt idx="71">
                  <v>#N/A</v>
                </pt>
                <pt idx="72">
                  <v>#N/A</v>
                </pt>
              </numCache>
            </numRef>
          </yVal>
          <smooth val="0"/>
        </ser>
        <ser>
          <idx val="1"/>
          <order val="1"/>
          <tx>
            <v>Alt 1</v>
          </tx>
          <spPr>
            <a:ln w="12700">
              <a:solidFill>
                <a:srgbClr val="000000"/>
              </a:solidFill>
              <a:prstDash val="solid"/>
            </a:ln>
          </spPr>
          <marker>
            <symbol val="square"/>
            <size val="6"/>
            <spPr>
              <a:solidFill>
                <a:sysClr val="windowText" lastClr="000000"/>
              </a:solidFill>
              <a:ln>
                <a:solidFill>
                  <a:prstClr val="black"/>
                </a:solidFill>
                <a:prstDash val="solid"/>
              </a:ln>
            </spPr>
          </marker>
          <dPt>
            <idx val="4"/>
            <bubble3D val="0"/>
            <spPr>
              <a:ln w="12700">
                <a:noFill/>
                <a:prstDash val="solid"/>
              </a:ln>
            </spPr>
          </dPt>
          <dPt>
            <idx val="6"/>
            <bubble3D val="0"/>
            <spPr>
              <a:ln w="12700">
                <a:solidFill>
                  <a:srgbClr val="000000"/>
                </a:solidFill>
                <a:prstDash val="solid"/>
              </a:ln>
            </spPr>
          </dPt>
          <dPt>
            <idx val="7"/>
            <bubble3D val="0"/>
            <spPr>
              <a:ln w="12700">
                <a:noFill/>
                <a:prstDash val="solid"/>
              </a:ln>
            </spPr>
          </dPt>
          <dPt>
            <idx val="9"/>
            <bubble3D val="0"/>
            <spPr>
              <a:ln w="12700">
                <a:solidFill>
                  <a:srgbClr val="000000"/>
                </a:solidFill>
                <a:prstDash val="solid"/>
              </a:ln>
            </spPr>
          </dPt>
          <dPt>
            <idx val="10"/>
            <bubble3D val="0"/>
            <spPr>
              <a:ln w="12700">
                <a:solidFill>
                  <a:srgbClr val="000000"/>
                </a:solidFill>
                <a:prstDash val="solid"/>
              </a:ln>
            </spPr>
          </dPt>
          <dPt>
            <idx val="11"/>
            <bubble3D val="0"/>
            <spPr>
              <a:ln w="12700">
                <a:solidFill>
                  <a:srgbClr val="000000"/>
                </a:solidFill>
                <a:prstDash val="solid"/>
              </a:ln>
            </spPr>
          </dPt>
          <dPt>
            <idx val="17"/>
            <bubble3D val="0"/>
            <spPr>
              <a:ln w="12700">
                <a:solidFill>
                  <a:srgbClr val="000000"/>
                </a:solidFill>
                <a:prstDash val="solid"/>
              </a:ln>
            </spPr>
          </dPt>
          <dLbls>
            <dLbl>
              <idx val="5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8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showLegendKey val="0"/>
            <showVal val="0"/>
            <showCatName val="0"/>
            <showSerName val="0"/>
            <showPercent val="0"/>
            <showBubbleSize val="0"/>
          </dLbls>
          <yVal>
            <numRef>
              <f>'Data Entry 1'!$S$4:$S$76</f>
              <numCache>
                <formatCode>General</formatCode>
                <ptCount val="7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33</v>
                </pt>
                <pt idx="5">
                  <v>77</v>
                </pt>
                <pt idx="6">
                  <v>68</v>
                </pt>
                <pt idx="7">
                  <v>8</v>
                </pt>
                <pt idx="8">
                  <v>2</v>
                </pt>
                <pt idx="9">
                  <v>1</v>
                </pt>
                <pt idx="10">
                  <v>#N/A</v>
                </pt>
                <pt idx="11">
                  <v>#N/A</v>
                </pt>
                <pt idx="12">
                  <v>#N/A</v>
                </pt>
                <pt idx="13">
                  <v>#N/A</v>
                </pt>
                <pt idx="14">
                  <v>#N/A</v>
                </pt>
                <pt idx="15">
                  <v>#N/A</v>
                </pt>
                <pt idx="16">
                  <v>#N/A</v>
                </pt>
                <pt idx="17">
                  <v>#N/A</v>
                </pt>
                <pt idx="18">
                  <v>#N/A</v>
                </pt>
                <pt idx="19">
                  <v>#N/A</v>
                </pt>
                <pt idx="20">
                  <v>#N/A</v>
                </pt>
                <pt idx="21">
                  <v>#N/A</v>
                </pt>
                <pt idx="22">
                  <v>#N/A</v>
                </pt>
                <pt idx="23">
                  <v>#N/A</v>
                </pt>
                <pt idx="24">
                  <v>#N/A</v>
                </pt>
                <pt idx="25">
                  <v>#N/A</v>
                </pt>
                <pt idx="26">
                  <v>#N/A</v>
                </pt>
                <pt idx="27">
                  <v>#N/A</v>
                </pt>
                <pt idx="28">
                  <v>#N/A</v>
                </pt>
                <pt idx="29">
                  <v>#N/A</v>
                </pt>
                <pt idx="30">
                  <v>#N/A</v>
                </pt>
                <pt idx="31">
                  <v>#N/A</v>
                </pt>
                <pt idx="32">
                  <v>#N/A</v>
                </pt>
                <pt idx="33">
                  <v>#N/A</v>
                </pt>
                <pt idx="34">
                  <v>#N/A</v>
                </pt>
                <pt idx="35">
                  <v>#N/A</v>
                </pt>
                <pt idx="36">
                  <v>#N/A</v>
                </pt>
                <pt idx="37">
                  <v>#N/A</v>
                </pt>
                <pt idx="38">
                  <v>#N/A</v>
                </pt>
                <pt idx="39">
                  <v>#N/A</v>
                </pt>
                <pt idx="40">
                  <v>#N/A</v>
                </pt>
                <pt idx="41">
                  <v>#N/A</v>
                </pt>
                <pt idx="42">
                  <v>#N/A</v>
                </pt>
                <pt idx="43">
                  <v>#N/A</v>
                </pt>
                <pt idx="44">
                  <v>#N/A</v>
                </pt>
                <pt idx="45">
                  <v>#N/A</v>
                </pt>
                <pt idx="46">
                  <v>#N/A</v>
                </pt>
                <pt idx="47">
                  <v>#N/A</v>
                </pt>
                <pt idx="48">
                  <v>#N/A</v>
                </pt>
                <pt idx="49">
                  <v>#N/A</v>
                </pt>
                <pt idx="50">
                  <v>#N/A</v>
                </pt>
                <pt idx="51">
                  <v>#N/A</v>
                </pt>
                <pt idx="52">
                  <v>#N/A</v>
                </pt>
                <pt idx="53">
                  <v>#N/A</v>
                </pt>
                <pt idx="54">
                  <v>#N/A</v>
                </pt>
                <pt idx="55">
                  <v>#N/A</v>
                </pt>
                <pt idx="56">
                  <v>#N/A</v>
                </pt>
                <pt idx="57">
                  <v>#N/A</v>
                </pt>
                <pt idx="58">
                  <v>#N/A</v>
                </pt>
                <pt idx="59">
                  <v>#N/A</v>
                </pt>
                <pt idx="60">
                  <v>#N/A</v>
                </pt>
                <pt idx="61">
                  <v>#N/A</v>
                </pt>
                <pt idx="62">
                  <v>#N/A</v>
                </pt>
                <pt idx="63">
                  <v>#N/A</v>
                </pt>
                <pt idx="64">
                  <v>#N/A</v>
                </pt>
                <pt idx="65">
                  <v>#N/A</v>
                </pt>
                <pt idx="66">
                  <v>#N/A</v>
                </pt>
                <pt idx="67">
                  <v>#N/A</v>
                </pt>
                <pt idx="68">
                  <v>#N/A</v>
                </pt>
                <pt idx="69">
                  <v>#N/A</v>
                </pt>
                <pt idx="70">
                  <v>#N/A</v>
                </pt>
                <pt idx="71">
                  <v>#N/A</v>
                </pt>
                <pt idx="72">
                  <v>#N/A</v>
                </pt>
              </numCache>
            </numRef>
          </yVal>
          <smooth val="0"/>
        </ser>
        <ser>
          <idx val="2"/>
          <order val="2"/>
          <tx>
            <v>Phase Line</v>
          </tx>
          <spPr>
            <a:ln w="12700">
              <a:solidFill>
                <a:schemeClr val="tx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'Data Entry 1'!$AJ$3:$AJ$20</f>
              <numCache>
                <formatCode>General</formatCode>
                <ptCount val="18"/>
                <pt idx="0">
                  <v>4.5</v>
                </pt>
                <pt idx="1">
                  <v>4.5</v>
                </pt>
                <pt idx="3">
                  <v>7.5</v>
                </pt>
                <pt idx="4">
                  <v>7.5</v>
                </pt>
              </numCache>
            </numRef>
          </xVal>
          <yVal>
            <numRef>
              <f>'Data Entry 1'!$AK$3:$AK$14</f>
              <numCache>
                <formatCode>General</formatCode>
                <ptCount val="12"/>
                <pt idx="0">
                  <v>0</v>
                </pt>
                <pt idx="1">
                  <v>1000</v>
                </pt>
                <pt idx="3">
                  <v>0</v>
                </pt>
                <pt idx="4">
                  <v>1000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-1193588688"/>
        <axId val="-1657505456"/>
      </scatterChart>
      <valAx>
        <axId val="-1193588688"/>
        <scaling>
          <orientation val="minMax"/>
          <max val="10"/>
        </scaling>
        <delete val="0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Sessions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55823378603387"/>
              <y val="0.9271652518008791"/>
            </manualLayout>
          </layout>
          <overlay val="0"/>
          <spPr>
            <a:noFill/>
            <a:ln w="25400">
              <a:noFill/>
              <a:prstDash val="solid"/>
            </a:ln>
          </spPr>
        </title>
        <numFmt formatCode="General" sourceLinked="1"/>
        <majorTickMark val="out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/>
            </a:pPr>
            <a:r>
              <a:t>None</a:t>
            </a:r>
            <a:endParaRPr lang="en-US"/>
          </a:p>
        </txPr>
        <crossAx val="-1657505456"/>
        <crosses val="autoZero"/>
        <crossBetween val="midCat"/>
        <majorUnit val="5"/>
      </valAx>
      <valAx>
        <axId val="-1657505456"/>
        <scaling>
          <orientation val="minMax"/>
          <max val="80"/>
          <min val="0"/>
        </scaling>
        <delete val="0"/>
        <axPos val="l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Responses</a:t>
                </a:r>
                <a:r>
                  <a:rPr lang="en-US" baseline="0"/>
                  <a:t xml:space="preserve"> Per Minute 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01664513911343768"/>
              <y val="0.3181354125187859"/>
            </manualLayout>
          </layout>
          <overlay val="0"/>
          <spPr>
            <a:solidFill>
              <a:sysClr val="window" lastClr="FFFFFF"/>
            </a:solidFill>
            <a:ln w="25400">
              <a:noFill/>
              <a:prstDash val="solid"/>
            </a:ln>
          </spPr>
        </title>
        <numFmt formatCode="0" sourceLinked="0"/>
        <majorTickMark val="out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/>
            </a:pPr>
            <a:r>
              <a:t>None</a:t>
            </a:r>
            <a:endParaRPr lang="en-US"/>
          </a:p>
        </txPr>
        <crossAx val="-1193588688"/>
        <crosses val="autoZero"/>
        <crossBetween val="midCat"/>
      </valAx>
    </plotArea>
    <legend>
      <legendPos val="r"/>
      <legendEntry>
        <idx val="2"/>
        <delete val="1"/>
      </legendEntry>
      <overlay val="0"/>
    </legend>
    <plotVisOnly val="1"/>
    <dispBlanksAs val="gap"/>
  </chart>
  <spPr>
    <a:noFill/>
    <a:ln w="9525"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9694291637210919"/>
          <y val="0.0626490166528572"/>
          <w val="0.8373791818848"/>
          <h val="0.807333273193552"/>
        </manualLayout>
      </layout>
      <scatterChart>
        <scatterStyle val="lineMarker"/>
        <varyColors val="0"/>
        <ser>
          <idx val="0"/>
          <order val="0"/>
          <tx>
            <v>Phase Line</v>
          </tx>
          <spPr>
            <a:ln w="12700">
              <a:solidFill>
                <a:schemeClr val="tx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'Data Entry 1'!$AJ$3:$AJ$24</f>
              <numCache>
                <formatCode>General</formatCode>
                <ptCount val="22"/>
                <pt idx="0">
                  <v>4.5</v>
                </pt>
                <pt idx="1">
                  <v>4.5</v>
                </pt>
                <pt idx="3">
                  <v>7.5</v>
                </pt>
                <pt idx="4">
                  <v>7.5</v>
                </pt>
              </numCache>
            </numRef>
          </xVal>
          <yVal>
            <numRef>
              <f>'Data Entry 1'!$AK$3:$AK$25</f>
              <numCache>
                <formatCode>General</formatCode>
                <ptCount val="23"/>
                <pt idx="0">
                  <v>0</v>
                </pt>
                <pt idx="1">
                  <v>1000</v>
                </pt>
                <pt idx="3">
                  <v>0</v>
                </pt>
                <pt idx="4">
                  <v>1000</v>
                </pt>
              </numCache>
            </numRef>
          </yVal>
          <smooth val="0"/>
        </ser>
        <ser>
          <idx val="1"/>
          <order val="1"/>
          <tx>
            <v>Combined</v>
          </tx>
          <spPr>
            <a:ln>
              <a:solidFill>
                <a:srgbClr val="000000"/>
              </a:solidFill>
              <a:prstDash val="solid"/>
            </a:ln>
          </spPr>
          <marker>
            <symbol val="circle"/>
            <size val="6"/>
            <spPr>
              <a:solidFill>
                <a:schemeClr val="bg1"/>
              </a:solidFill>
              <a:ln>
                <a:solidFill>
                  <a:srgbClr val="000000"/>
                </a:solidFill>
                <a:prstDash val="solid"/>
              </a:ln>
            </spPr>
          </marker>
          <dPt>
            <idx val="4"/>
            <bubble3D val="0"/>
            <spPr>
              <a:ln>
                <a:noFill/>
                <a:prstDash val="solid"/>
              </a:ln>
            </spPr>
          </dPt>
          <dPt>
            <idx val="7"/>
            <bubble3D val="0"/>
            <spPr>
              <a:ln>
                <a:noFill/>
                <a:prstDash val="solid"/>
              </a:ln>
            </spPr>
          </dPt>
          <yVal>
            <numRef>
              <f>'Data Entry 1'!$AE$4:$AE$76</f>
              <numCache>
                <formatCode>General</formatCode>
                <ptCount val="73"/>
                <pt idx="0">
                  <v>4</v>
                </pt>
                <pt idx="1">
                  <v>6</v>
                </pt>
                <pt idx="2">
                  <v>12</v>
                </pt>
                <pt idx="3">
                  <v>17</v>
                </pt>
                <pt idx="4">
                  <v>9</v>
                </pt>
                <pt idx="5">
                  <v>21</v>
                </pt>
                <pt idx="6">
                  <v>12</v>
                </pt>
                <pt idx="7">
                  <v>46</v>
                </pt>
                <pt idx="8">
                  <v>34</v>
                </pt>
                <pt idx="9">
                  <v>21</v>
                </pt>
                <pt idx="10">
                  <v>#N/A</v>
                </pt>
                <pt idx="11">
                  <v>#N/A</v>
                </pt>
                <pt idx="12">
                  <v>#N/A</v>
                </pt>
                <pt idx="13">
                  <v>#N/A</v>
                </pt>
                <pt idx="14">
                  <v>#N/A</v>
                </pt>
                <pt idx="15">
                  <v>#N/A</v>
                </pt>
                <pt idx="16">
                  <v>#N/A</v>
                </pt>
                <pt idx="17">
                  <v>#N/A</v>
                </pt>
                <pt idx="18">
                  <v>#N/A</v>
                </pt>
                <pt idx="19">
                  <v>#N/A</v>
                </pt>
                <pt idx="20">
                  <v>#N/A</v>
                </pt>
                <pt idx="21">
                  <v>#N/A</v>
                </pt>
                <pt idx="22">
                  <v>#N/A</v>
                </pt>
                <pt idx="23">
                  <v>#N/A</v>
                </pt>
                <pt idx="24">
                  <v>#N/A</v>
                </pt>
                <pt idx="25">
                  <v>#N/A</v>
                </pt>
                <pt idx="26">
                  <v>#N/A</v>
                </pt>
                <pt idx="27">
                  <v>#N/A</v>
                </pt>
                <pt idx="28">
                  <v>#N/A</v>
                </pt>
                <pt idx="29">
                  <v>#N/A</v>
                </pt>
                <pt idx="30">
                  <v>#N/A</v>
                </pt>
                <pt idx="31">
                  <v>#N/A</v>
                </pt>
                <pt idx="32">
                  <v>#N/A</v>
                </pt>
                <pt idx="33">
                  <v>#N/A</v>
                </pt>
                <pt idx="34">
                  <v>#N/A</v>
                </pt>
                <pt idx="35">
                  <v>#N/A</v>
                </pt>
                <pt idx="36">
                  <v>#N/A</v>
                </pt>
                <pt idx="37">
                  <v>#N/A</v>
                </pt>
                <pt idx="38">
                  <v>#N/A</v>
                </pt>
                <pt idx="39">
                  <v>#N/A</v>
                </pt>
                <pt idx="40">
                  <v>#N/A</v>
                </pt>
                <pt idx="41">
                  <v>#N/A</v>
                </pt>
                <pt idx="42">
                  <v>#N/A</v>
                </pt>
                <pt idx="43">
                  <v>#N/A</v>
                </pt>
                <pt idx="44">
                  <v>#N/A</v>
                </pt>
                <pt idx="45">
                  <v>#N/A</v>
                </pt>
                <pt idx="46">
                  <v>#N/A</v>
                </pt>
                <pt idx="47">
                  <v>#N/A</v>
                </pt>
                <pt idx="48">
                  <v>#N/A</v>
                </pt>
                <pt idx="49">
                  <v>#N/A</v>
                </pt>
                <pt idx="50">
                  <v>#N/A</v>
                </pt>
                <pt idx="51">
                  <v>#N/A</v>
                </pt>
                <pt idx="52">
                  <v>#N/A</v>
                </pt>
                <pt idx="53">
                  <v>#N/A</v>
                </pt>
                <pt idx="54">
                  <v>#N/A</v>
                </pt>
                <pt idx="55">
                  <v>#N/A</v>
                </pt>
                <pt idx="56">
                  <v>#N/A</v>
                </pt>
                <pt idx="57">
                  <v>#N/A</v>
                </pt>
                <pt idx="58">
                  <v>#N/A</v>
                </pt>
                <pt idx="59">
                  <v>#N/A</v>
                </pt>
                <pt idx="60">
                  <v>#N/A</v>
                </pt>
                <pt idx="61">
                  <v>#N/A</v>
                </pt>
                <pt idx="62">
                  <v>#N/A</v>
                </pt>
                <pt idx="63">
                  <v>#N/A</v>
                </pt>
                <pt idx="64">
                  <v>#N/A</v>
                </pt>
                <pt idx="65">
                  <v>#N/A</v>
                </pt>
                <pt idx="66">
                  <v>#N/A</v>
                </pt>
                <pt idx="67">
                  <v>#N/A</v>
                </pt>
                <pt idx="68">
                  <v>#N/A</v>
                </pt>
                <pt idx="69">
                  <v>#N/A</v>
                </pt>
                <pt idx="70">
                  <v>#N/A</v>
                </pt>
                <pt idx="71">
                  <v>#N/A</v>
                </pt>
                <pt idx="72">
                  <v>#N/A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-1193588688"/>
        <axId val="-1657505456"/>
      </scatterChart>
      <valAx>
        <axId val="-1193588688"/>
        <scaling>
          <orientation val="minMax"/>
          <max val="10"/>
        </scaling>
        <delete val="0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Sessions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55823378603387"/>
              <y val="0.9271652518008791"/>
            </manualLayout>
          </layout>
          <overlay val="0"/>
          <spPr>
            <a:noFill/>
            <a:ln w="25400">
              <a:noFill/>
              <a:prstDash val="solid"/>
            </a:ln>
          </spPr>
        </title>
        <numFmt formatCode="General" sourceLinked="1"/>
        <majorTickMark val="out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/>
            </a:pPr>
            <a:r>
              <a:t>None</a:t>
            </a:r>
            <a:endParaRPr lang="en-US"/>
          </a:p>
        </txPr>
        <crossAx val="-1657505456"/>
        <crosses val="autoZero"/>
        <crossBetween val="midCat"/>
        <majorUnit val="5"/>
      </valAx>
      <valAx>
        <axId val="-1657505456"/>
        <scaling>
          <orientation val="minMax"/>
          <max val="100"/>
          <min val="0"/>
        </scaling>
        <delete val="0"/>
        <axPos val="l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664513911343768"/>
              <y val="0.3181354125187859"/>
            </manualLayout>
          </layout>
          <overlay val="0"/>
          <spPr>
            <a:solidFill>
              <a:sysClr val="window" lastClr="FFFFFF"/>
            </a:solidFill>
            <a:ln w="25400">
              <a:noFill/>
              <a:prstDash val="solid"/>
            </a:ln>
          </spPr>
        </title>
        <numFmt formatCode="0" sourceLinked="0"/>
        <majorTickMark val="out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/>
            </a:pPr>
            <a:r>
              <a:t>None</a:t>
            </a:r>
            <a:endParaRPr lang="en-US"/>
          </a:p>
        </txPr>
        <crossAx val="-1193588688"/>
        <crosses val="autoZero"/>
        <crossBetween val="midCat"/>
      </valAx>
    </plotArea>
    <legend>
      <legendPos val="r"/>
      <legendEntry>
        <idx val="0"/>
        <delete val="1"/>
      </legendEntry>
      <overlay val="0"/>
    </legend>
    <plotVisOnly val="1"/>
    <dispBlanksAs val="gap"/>
  </chart>
  <spPr>
    <a:noFill/>
    <a:ln w="9525"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9694291637210919"/>
          <y val="0.0626490166528572"/>
          <w val="0.8373791818848"/>
          <h val="0.807333273193552"/>
        </manualLayout>
      </layout>
      <scatterChart>
        <scatterStyle val="lineMarker"/>
        <varyColors val="0"/>
        <ser>
          <idx val="0"/>
          <order val="0"/>
          <tx>
            <v xml:space="preserve">Target </v>
          </tx>
          <spPr>
            <a:ln w="12700">
              <a:solidFill>
                <a:schemeClr val="tx1"/>
              </a:solidFill>
              <a:prstDash val="solid"/>
            </a:ln>
          </spPr>
          <marker>
            <symbol val="circle"/>
            <size val="6"/>
            <spPr>
              <a:solidFill>
                <a:schemeClr val="bg1"/>
              </a:solidFill>
              <a:ln>
                <a:solidFill>
                  <a:prstClr val="black"/>
                </a:solidFill>
                <a:prstDash val="solid"/>
              </a:ln>
            </spPr>
          </marker>
          <yVal>
            <numRef>
              <f>'Session by Session'!$E$3:$E$5</f>
              <numCache>
                <formatCode>General</formatCode>
                <ptCount val="3"/>
                <pt idx="0">
                  <v>#N/A</v>
                </pt>
                <pt idx="1">
                  <v>#N/A</v>
                </pt>
                <pt idx="2">
                  <v>#N/A</v>
                </pt>
              </numCache>
            </numRef>
          </yVal>
          <smooth val="0"/>
        </ser>
        <ser>
          <idx val="1"/>
          <order val="1"/>
          <tx>
            <v>Alt 1</v>
          </tx>
          <spPr>
            <a:ln w="12700">
              <a:solidFill>
                <a:schemeClr val="tx1"/>
              </a:solidFill>
              <a:prstDash val="solid"/>
            </a:ln>
          </spPr>
          <marker>
            <symbol val="square"/>
            <size val="6"/>
            <spPr>
              <a:solidFill>
                <a:sysClr val="windowText" lastClr="000000"/>
              </a:solidFill>
              <a:ln>
                <a:solidFill>
                  <a:prstClr val="black"/>
                </a:solidFill>
                <a:prstDash val="solid"/>
              </a:ln>
            </spPr>
          </marker>
          <dPt>
            <idx val="6"/>
            <bubble3D val="0"/>
            <spPr>
              <a:ln w="12700">
                <a:noFill/>
                <a:prstDash val="solid"/>
              </a:ln>
            </spPr>
          </dPt>
          <xVal>
            <numRef>
              <f>'Session by Session'!$C$3:$C$11</f>
              <numCache>
                <formatCode>General</formatCode>
                <ptCount val="9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</numCache>
            </numRef>
          </xVal>
          <yVal>
            <numRef>
              <f>'Session by Session'!$I$3:$I$11</f>
              <numCache>
                <formatCode>General</formatCode>
                <ptCount val="9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  <pt idx="5">
                  <v>#N/A</v>
                </pt>
                <pt idx="6">
                  <v>#N/A</v>
                </pt>
                <pt idx="7">
                  <v>0</v>
                </pt>
                <pt idx="8">
                  <v>0</v>
                </pt>
              </numCache>
            </numRef>
          </yVal>
          <smooth val="0"/>
        </ser>
        <ser>
          <idx val="2"/>
          <order val="2"/>
          <tx>
            <v>Phase Line</v>
          </tx>
          <spPr>
            <a:ln w="12700">
              <a:solidFill>
                <a:schemeClr val="tx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'Session by Session'!$X$2:$X$6</f>
              <numCache>
                <formatCode>General</formatCode>
                <ptCount val="5"/>
                <pt idx="0">
                  <v>4.5</v>
                </pt>
                <pt idx="1">
                  <v>4.5</v>
                </pt>
                <pt idx="3">
                  <v>7.5</v>
                </pt>
                <pt idx="4">
                  <v>7.5</v>
                </pt>
              </numCache>
            </numRef>
          </xVal>
          <yVal>
            <numRef>
              <f>'Session by Session'!$Y$2:$Y$6</f>
              <numCache>
                <formatCode>General</formatCode>
                <ptCount val="5"/>
                <pt idx="0">
                  <v>0</v>
                </pt>
                <pt idx="1">
                  <v>1000</v>
                </pt>
                <pt idx="3">
                  <v>0</v>
                </pt>
                <pt idx="4">
                  <v>1000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-1193588688"/>
        <axId val="-1657505456"/>
      </scatterChart>
      <valAx>
        <axId val="-1193588688"/>
        <scaling>
          <orientation val="minMax"/>
          <max val="10"/>
        </scaling>
        <delete val="0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Sessions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55823378603387"/>
              <y val="0.9271652518008791"/>
            </manualLayout>
          </layout>
          <overlay val="0"/>
          <spPr>
            <a:noFill/>
            <a:ln w="25400">
              <a:noFill/>
              <a:prstDash val="solid"/>
            </a:ln>
          </spPr>
        </title>
        <numFmt formatCode="General" sourceLinked="1"/>
        <majorTickMark val="out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/>
            </a:pPr>
            <a:r>
              <a:t>None</a:t>
            </a:r>
            <a:endParaRPr lang="en-US"/>
          </a:p>
        </txPr>
        <crossAx val="-1657505456"/>
        <crosses val="autoZero"/>
        <crossBetween val="midCat"/>
        <majorUnit val="5"/>
      </valAx>
      <valAx>
        <axId val="-1657505456"/>
        <scaling>
          <orientation val="minMax"/>
          <max val="140"/>
          <min val="0"/>
        </scaling>
        <delete val="0"/>
        <axPos val="l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Responses</a:t>
                </a:r>
                <a:r>
                  <a:rPr lang="en-US" baseline="0"/>
                  <a:t xml:space="preserve"> Per Minute 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01664513911343768"/>
              <y val="0.3181354125187859"/>
            </manualLayout>
          </layout>
          <overlay val="0"/>
          <spPr>
            <a:solidFill>
              <a:sysClr val="window" lastClr="FFFFFF"/>
            </a:solidFill>
            <a:ln w="25400">
              <a:noFill/>
              <a:prstDash val="solid"/>
            </a:ln>
          </spPr>
        </title>
        <numFmt formatCode="0" sourceLinked="0"/>
        <majorTickMark val="out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/>
            </a:pPr>
            <a:r>
              <a:t>None</a:t>
            </a:r>
            <a:endParaRPr lang="en-US"/>
          </a:p>
        </txPr>
        <crossAx val="-1193588688"/>
        <crosses val="autoZero"/>
        <crossBetween val="midCat"/>
      </valAx>
    </plotArea>
    <legend>
      <legendPos val="r"/>
      <legendEntry>
        <idx val="2"/>
        <delete val="1"/>
      </legendEntry>
      <overlay val="0"/>
    </legend>
    <plotVisOnly val="1"/>
    <dispBlanksAs val="gap"/>
  </chart>
  <spPr>
    <a:noFill/>
    <a:ln w="9525">
      <a:noFill/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9694291637210919"/>
          <y val="0.0626490166528572"/>
          <w val="0.8373791818848"/>
          <h val="0.807333273193552"/>
        </manualLayout>
      </layout>
      <scatterChart>
        <scatterStyle val="lineMarker"/>
        <varyColors val="0"/>
        <ser>
          <idx val="0"/>
          <order val="0"/>
          <tx>
            <v>Total</v>
          </tx>
          <spPr>
            <a:ln>
              <a:prstDash val="solid"/>
            </a:ln>
          </spPr>
          <marker>
            <symbol val="circle"/>
            <size val="6"/>
            <spPr>
              <a:solidFill>
                <a:schemeClr val="bg1"/>
              </a:solidFill>
              <a:ln>
                <a:solidFill>
                  <a:prstClr val="black"/>
                </a:solidFill>
                <a:prstDash val="solid"/>
              </a:ln>
            </spPr>
          </marker>
          <yVal>
            <numRef>
              <f>'Session by Session'!$L$3:$L$11</f>
              <numCache>
                <formatCode>General</formatCode>
                <ptCount val="9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  <pt idx="5">
                  <v>#N/A</v>
                </pt>
                <pt idx="6">
                  <v>#N/A</v>
                </pt>
                <pt idx="7">
                  <v>#N/A</v>
                </pt>
                <pt idx="8">
                  <v>#N/A</v>
                </pt>
              </numCache>
            </numRef>
          </yVal>
          <smooth val="0"/>
        </ser>
        <ser>
          <idx val="1"/>
          <order val="1"/>
          <tx>
            <v>Phase Line</v>
          </tx>
          <spPr>
            <a:ln w="12700">
              <a:solidFill>
                <a:schemeClr val="tx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'Session by Session'!$X$2:$X$6</f>
              <numCache>
                <formatCode>General</formatCode>
                <ptCount val="5"/>
                <pt idx="0">
                  <v>4.5</v>
                </pt>
                <pt idx="1">
                  <v>4.5</v>
                </pt>
                <pt idx="3">
                  <v>7.5</v>
                </pt>
                <pt idx="4">
                  <v>7.5</v>
                </pt>
              </numCache>
            </numRef>
          </xVal>
          <yVal>
            <numRef>
              <f>'Session by Session'!$Y$2:$Y$6</f>
              <numCache>
                <formatCode>General</formatCode>
                <ptCount val="5"/>
                <pt idx="0">
                  <v>0</v>
                </pt>
                <pt idx="1">
                  <v>1000</v>
                </pt>
                <pt idx="3">
                  <v>0</v>
                </pt>
                <pt idx="4">
                  <v>1000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-1193588688"/>
        <axId val="-1657505456"/>
      </scatterChart>
      <valAx>
        <axId val="-1193588688"/>
        <scaling>
          <orientation val="minMax"/>
          <max val="10"/>
        </scaling>
        <delete val="0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Sessions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55823378603387"/>
              <y val="0.9271652518008791"/>
            </manualLayout>
          </layout>
          <overlay val="0"/>
          <spPr>
            <a:noFill/>
            <a:ln w="25400">
              <a:noFill/>
              <a:prstDash val="solid"/>
            </a:ln>
          </spPr>
        </title>
        <numFmt formatCode="General" sourceLinked="1"/>
        <majorTickMark val="out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/>
            </a:pPr>
            <a:r>
              <a:t>None</a:t>
            </a:r>
            <a:endParaRPr lang="en-US"/>
          </a:p>
        </txPr>
        <crossAx val="-1657505456"/>
        <crosses val="autoZero"/>
        <crossBetween val="midCat"/>
        <majorUnit val="5"/>
      </valAx>
      <valAx>
        <axId val="-1657505456"/>
        <scaling>
          <orientation val="minMax"/>
          <max val="140"/>
          <min val="0"/>
        </scaling>
        <delete val="0"/>
        <axPos val="l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664513911343768"/>
              <y val="0.3181354125187859"/>
            </manualLayout>
          </layout>
          <overlay val="0"/>
          <spPr>
            <a:solidFill>
              <a:sysClr val="window" lastClr="FFFFFF"/>
            </a:solidFill>
            <a:ln w="25400">
              <a:noFill/>
              <a:prstDash val="solid"/>
            </a:ln>
          </spPr>
        </title>
        <numFmt formatCode="0" sourceLinked="0"/>
        <majorTickMark val="out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/>
            </a:pPr>
            <a:r>
              <a:t>None</a:t>
            </a:r>
            <a:endParaRPr lang="en-US"/>
          </a:p>
        </txPr>
        <crossAx val="-1193588688"/>
        <crosses val="autoZero"/>
        <crossBetween val="midCat"/>
      </valAx>
    </plotArea>
    <legend>
      <legendPos val="r"/>
      <legendEntry>
        <idx val="1"/>
        <delete val="1"/>
      </legendEntry>
      <overlay val="0"/>
    </legend>
    <plotVisOnly val="1"/>
    <dispBlanksAs val="gap"/>
  </chart>
  <spPr>
    <a:noFill/>
    <a:ln w="9525">
      <a:noFill/>
      <a:prstDash val="solid"/>
    </a:ln>
  </spPr>
</chartSpace>
</file>

<file path=xl/charts/chart5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9694291637210919"/>
          <y val="0.0626490166528572"/>
          <w val="0.8373791818848"/>
          <h val="0.807333273193552"/>
        </manualLayout>
      </layout>
      <scatterChart>
        <scatterStyle val="lineMarker"/>
        <varyColors val="0"/>
        <ser>
          <idx val="0"/>
          <order val="0"/>
          <tx>
            <v>Asteroids</v>
          </tx>
          <spPr>
            <a:ln>
              <a:prstDash val="solid"/>
            </a:ln>
          </spPr>
          <marker>
            <symbol val="circle"/>
            <size val="6"/>
            <spPr>
              <a:solidFill>
                <a:schemeClr val="bg1"/>
              </a:solidFill>
              <a:ln>
                <a:solidFill>
                  <a:prstClr val="black"/>
                </a:solidFill>
                <a:prstDash val="solid"/>
              </a:ln>
            </spPr>
          </marker>
          <yVal>
            <numRef>
              <f>'Data Entry 1'!$T$4:$T$76</f>
              <numCache>
                <formatCode>General</formatCode>
                <ptCount val="73"/>
                <pt idx="0">
                  <v>0</v>
                </pt>
                <pt idx="1">
                  <v>0</v>
                </pt>
                <pt idx="2">
                  <v>8</v>
                </pt>
                <pt idx="3">
                  <v>11</v>
                </pt>
                <pt idx="4">
                  <v>8</v>
                </pt>
                <pt idx="5">
                  <v>17</v>
                </pt>
                <pt idx="6">
                  <v>5</v>
                </pt>
                <pt idx="7">
                  <v>36</v>
                </pt>
                <pt idx="8">
                  <v>28</v>
                </pt>
                <pt idx="9">
                  <v>15</v>
                </pt>
                <pt idx="10">
                  <v>#N/A</v>
                </pt>
                <pt idx="11">
                  <v>#N/A</v>
                </pt>
                <pt idx="12">
                  <v>#N/A</v>
                </pt>
                <pt idx="13">
                  <v>#N/A</v>
                </pt>
                <pt idx="14">
                  <v>#N/A</v>
                </pt>
                <pt idx="15">
                  <v>#N/A</v>
                </pt>
                <pt idx="16">
                  <v>#N/A</v>
                </pt>
                <pt idx="17">
                  <v>#N/A</v>
                </pt>
                <pt idx="18">
                  <v>#N/A</v>
                </pt>
                <pt idx="19">
                  <v>#N/A</v>
                </pt>
                <pt idx="20">
                  <v>#N/A</v>
                </pt>
                <pt idx="21">
                  <v>#N/A</v>
                </pt>
                <pt idx="22">
                  <v>#N/A</v>
                </pt>
                <pt idx="23">
                  <v>#N/A</v>
                </pt>
                <pt idx="24">
                  <v>#N/A</v>
                </pt>
                <pt idx="25">
                  <v>#N/A</v>
                </pt>
                <pt idx="26">
                  <v>#N/A</v>
                </pt>
                <pt idx="27">
                  <v>#N/A</v>
                </pt>
                <pt idx="28">
                  <v>#N/A</v>
                </pt>
                <pt idx="29">
                  <v>#N/A</v>
                </pt>
                <pt idx="30">
                  <v>#N/A</v>
                </pt>
                <pt idx="31">
                  <v>#N/A</v>
                </pt>
                <pt idx="32">
                  <v>#N/A</v>
                </pt>
                <pt idx="33">
                  <v>#N/A</v>
                </pt>
                <pt idx="34">
                  <v>#N/A</v>
                </pt>
                <pt idx="35">
                  <v>#N/A</v>
                </pt>
                <pt idx="36">
                  <v>#N/A</v>
                </pt>
                <pt idx="37">
                  <v>#N/A</v>
                </pt>
                <pt idx="38">
                  <v>#N/A</v>
                </pt>
                <pt idx="39">
                  <v>#N/A</v>
                </pt>
                <pt idx="40">
                  <v>#N/A</v>
                </pt>
                <pt idx="41">
                  <v>#N/A</v>
                </pt>
                <pt idx="42">
                  <v>#N/A</v>
                </pt>
                <pt idx="43">
                  <v>#N/A</v>
                </pt>
                <pt idx="44">
                  <v>#N/A</v>
                </pt>
                <pt idx="45">
                  <v>#N/A</v>
                </pt>
                <pt idx="46">
                  <v>#N/A</v>
                </pt>
                <pt idx="47">
                  <v>#N/A</v>
                </pt>
                <pt idx="48">
                  <v>#N/A</v>
                </pt>
                <pt idx="49">
                  <v>#N/A</v>
                </pt>
                <pt idx="50">
                  <v>#N/A</v>
                </pt>
                <pt idx="51">
                  <v>#N/A</v>
                </pt>
                <pt idx="52">
                  <v>#N/A</v>
                </pt>
                <pt idx="53">
                  <v>#N/A</v>
                </pt>
                <pt idx="54">
                  <v>#N/A</v>
                </pt>
                <pt idx="55">
                  <v>#N/A</v>
                </pt>
                <pt idx="56">
                  <v>#N/A</v>
                </pt>
                <pt idx="57">
                  <v>#N/A</v>
                </pt>
                <pt idx="58">
                  <v>#N/A</v>
                </pt>
                <pt idx="59">
                  <v>#N/A</v>
                </pt>
                <pt idx="60">
                  <v>#N/A</v>
                </pt>
                <pt idx="61">
                  <v>#N/A</v>
                </pt>
                <pt idx="62">
                  <v>#N/A</v>
                </pt>
                <pt idx="63">
                  <v>#N/A</v>
                </pt>
                <pt idx="64">
                  <v>#N/A</v>
                </pt>
                <pt idx="65">
                  <v>#N/A</v>
                </pt>
                <pt idx="66">
                  <v>#N/A</v>
                </pt>
                <pt idx="67">
                  <v>#N/A</v>
                </pt>
                <pt idx="68">
                  <v>#N/A</v>
                </pt>
                <pt idx="69">
                  <v>#N/A</v>
                </pt>
                <pt idx="70">
                  <v>#N/A</v>
                </pt>
                <pt idx="71">
                  <v>#N/A</v>
                </pt>
                <pt idx="72">
                  <v>#N/A</v>
                </pt>
              </numCache>
            </numRef>
          </yVal>
          <smooth val="0"/>
        </ser>
        <ser>
          <idx val="1"/>
          <order val="1"/>
          <tx>
            <v>Phase Line</v>
          </tx>
          <spPr>
            <a:ln w="12700">
              <a:solidFill>
                <a:schemeClr val="tx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'Data Entry 1'!$AJ$3:$AJ$24</f>
              <numCache>
                <formatCode>General</formatCode>
                <ptCount val="22"/>
                <pt idx="0">
                  <v>4.5</v>
                </pt>
                <pt idx="1">
                  <v>4.5</v>
                </pt>
                <pt idx="3">
                  <v>7.5</v>
                </pt>
                <pt idx="4">
                  <v>7.5</v>
                </pt>
              </numCache>
            </numRef>
          </xVal>
          <yVal>
            <numRef>
              <f>'Data Entry 1'!$AK$3:$AK$25</f>
              <numCache>
                <formatCode>General</formatCode>
                <ptCount val="23"/>
                <pt idx="0">
                  <v>0</v>
                </pt>
                <pt idx="1">
                  <v>1000</v>
                </pt>
                <pt idx="3">
                  <v>0</v>
                </pt>
                <pt idx="4">
                  <v>1000</v>
                </pt>
              </numCache>
            </numRef>
          </yVal>
          <smooth val="0"/>
        </ser>
        <ser>
          <idx val="2"/>
          <order val="2"/>
          <tx>
            <v>Barrell Roll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yVal>
            <numRef>
              <f>'Data Entry 1'!$V$4:$V$76</f>
              <numCache>
                <formatCode>General</formatCode>
                <ptCount val="73"/>
                <pt idx="0">
                  <v>2</v>
                </pt>
                <pt idx="1">
                  <v>2</v>
                </pt>
                <pt idx="2">
                  <v>5</v>
                </pt>
                <pt idx="3">
                  <v>2</v>
                </pt>
                <pt idx="4">
                  <v>2</v>
                </pt>
                <pt idx="5">
                  <v>3</v>
                </pt>
                <pt idx="6">
                  <v>1</v>
                </pt>
                <pt idx="7">
                  <v>3</v>
                </pt>
                <pt idx="8">
                  <v>3</v>
                </pt>
                <pt idx="9">
                  <v>4</v>
                </pt>
                <pt idx="10">
                  <v>#N/A</v>
                </pt>
                <pt idx="11">
                  <v>#N/A</v>
                </pt>
                <pt idx="12">
                  <v>#N/A</v>
                </pt>
                <pt idx="13">
                  <v>#N/A</v>
                </pt>
                <pt idx="14">
                  <v>#N/A</v>
                </pt>
                <pt idx="15">
                  <v>#N/A</v>
                </pt>
                <pt idx="16">
                  <v>#N/A</v>
                </pt>
                <pt idx="17">
                  <v>#N/A</v>
                </pt>
                <pt idx="18">
                  <v>#N/A</v>
                </pt>
                <pt idx="19">
                  <v>#N/A</v>
                </pt>
                <pt idx="20">
                  <v>#N/A</v>
                </pt>
                <pt idx="21">
                  <v>#N/A</v>
                </pt>
                <pt idx="22">
                  <v>#N/A</v>
                </pt>
                <pt idx="23">
                  <v>#N/A</v>
                </pt>
                <pt idx="24">
                  <v>#N/A</v>
                </pt>
                <pt idx="25">
                  <v>#N/A</v>
                </pt>
                <pt idx="26">
                  <v>#N/A</v>
                </pt>
                <pt idx="27">
                  <v>#N/A</v>
                </pt>
                <pt idx="28">
                  <v>#N/A</v>
                </pt>
                <pt idx="29">
                  <v>#N/A</v>
                </pt>
                <pt idx="30">
                  <v>#N/A</v>
                </pt>
                <pt idx="31">
                  <v>#N/A</v>
                </pt>
                <pt idx="32">
                  <v>#N/A</v>
                </pt>
                <pt idx="33">
                  <v>#N/A</v>
                </pt>
                <pt idx="34">
                  <v>#N/A</v>
                </pt>
                <pt idx="35">
                  <v>#N/A</v>
                </pt>
                <pt idx="36">
                  <v>#N/A</v>
                </pt>
                <pt idx="37">
                  <v>#N/A</v>
                </pt>
                <pt idx="38">
                  <v>#N/A</v>
                </pt>
                <pt idx="39">
                  <v>#N/A</v>
                </pt>
                <pt idx="40">
                  <v>#N/A</v>
                </pt>
                <pt idx="41">
                  <v>#N/A</v>
                </pt>
                <pt idx="42">
                  <v>#N/A</v>
                </pt>
                <pt idx="43">
                  <v>#N/A</v>
                </pt>
                <pt idx="44">
                  <v>#N/A</v>
                </pt>
                <pt idx="45">
                  <v>#N/A</v>
                </pt>
                <pt idx="46">
                  <v>#N/A</v>
                </pt>
                <pt idx="47">
                  <v>#N/A</v>
                </pt>
                <pt idx="48">
                  <v>#N/A</v>
                </pt>
                <pt idx="49">
                  <v>#N/A</v>
                </pt>
                <pt idx="50">
                  <v>#N/A</v>
                </pt>
                <pt idx="51">
                  <v>#N/A</v>
                </pt>
                <pt idx="52">
                  <v>#N/A</v>
                </pt>
                <pt idx="53">
                  <v>#N/A</v>
                </pt>
                <pt idx="54">
                  <v>#N/A</v>
                </pt>
                <pt idx="55">
                  <v>#N/A</v>
                </pt>
                <pt idx="56">
                  <v>#N/A</v>
                </pt>
                <pt idx="57">
                  <v>#N/A</v>
                </pt>
                <pt idx="58">
                  <v>#N/A</v>
                </pt>
                <pt idx="59">
                  <v>#N/A</v>
                </pt>
                <pt idx="60">
                  <v>#N/A</v>
                </pt>
                <pt idx="61">
                  <v>#N/A</v>
                </pt>
                <pt idx="62">
                  <v>#N/A</v>
                </pt>
                <pt idx="63">
                  <v>#N/A</v>
                </pt>
                <pt idx="64">
                  <v>#N/A</v>
                </pt>
                <pt idx="65">
                  <v>#N/A</v>
                </pt>
                <pt idx="66">
                  <v>#N/A</v>
                </pt>
                <pt idx="67">
                  <v>#N/A</v>
                </pt>
                <pt idx="68">
                  <v>#N/A</v>
                </pt>
                <pt idx="69">
                  <v>#N/A</v>
                </pt>
                <pt idx="70">
                  <v>#N/A</v>
                </pt>
                <pt idx="71">
                  <v>#N/A</v>
                </pt>
                <pt idx="72">
                  <v>#N/A</v>
                </pt>
              </numCache>
            </numRef>
          </yVal>
          <smooth val="0"/>
        </ser>
        <ser>
          <idx val="3"/>
          <order val="3"/>
          <tx>
            <v>Spins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yVal>
            <numRef>
              <f>'Data Entry 1'!$W$4:$W$76</f>
              <numCache>
                <formatCode>General</formatCode>
                <ptCount val="73"/>
                <pt idx="0">
                  <v>1</v>
                </pt>
                <pt idx="1">
                  <v>2</v>
                </pt>
                <pt idx="2">
                  <v>0</v>
                </pt>
                <pt idx="3">
                  <v>3</v>
                </pt>
                <pt idx="4">
                  <v>1</v>
                </pt>
                <pt idx="5">
                  <v>1</v>
                </pt>
                <pt idx="6">
                  <v>3</v>
                </pt>
                <pt idx="7">
                  <v>2</v>
                </pt>
                <pt idx="8">
                  <v>1</v>
                </pt>
                <pt idx="9">
                  <v>1</v>
                </pt>
                <pt idx="10">
                  <v>#N/A</v>
                </pt>
                <pt idx="11">
                  <v>#N/A</v>
                </pt>
                <pt idx="12">
                  <v>#N/A</v>
                </pt>
                <pt idx="13">
                  <v>#N/A</v>
                </pt>
                <pt idx="14">
                  <v>#N/A</v>
                </pt>
                <pt idx="15">
                  <v>#N/A</v>
                </pt>
                <pt idx="16">
                  <v>#N/A</v>
                </pt>
                <pt idx="17">
                  <v>#N/A</v>
                </pt>
                <pt idx="18">
                  <v>#N/A</v>
                </pt>
                <pt idx="19">
                  <v>#N/A</v>
                </pt>
                <pt idx="20">
                  <v>#N/A</v>
                </pt>
                <pt idx="21">
                  <v>#N/A</v>
                </pt>
                <pt idx="22">
                  <v>#N/A</v>
                </pt>
                <pt idx="23">
                  <v>#N/A</v>
                </pt>
                <pt idx="24">
                  <v>#N/A</v>
                </pt>
                <pt idx="25">
                  <v>#N/A</v>
                </pt>
                <pt idx="26">
                  <v>#N/A</v>
                </pt>
                <pt idx="27">
                  <v>#N/A</v>
                </pt>
                <pt idx="28">
                  <v>#N/A</v>
                </pt>
                <pt idx="29">
                  <v>#N/A</v>
                </pt>
                <pt idx="30">
                  <v>#N/A</v>
                </pt>
                <pt idx="31">
                  <v>#N/A</v>
                </pt>
                <pt idx="32">
                  <v>#N/A</v>
                </pt>
                <pt idx="33">
                  <v>#N/A</v>
                </pt>
                <pt idx="34">
                  <v>#N/A</v>
                </pt>
                <pt idx="35">
                  <v>#N/A</v>
                </pt>
                <pt idx="36">
                  <v>#N/A</v>
                </pt>
                <pt idx="37">
                  <v>#N/A</v>
                </pt>
                <pt idx="38">
                  <v>#N/A</v>
                </pt>
                <pt idx="39">
                  <v>#N/A</v>
                </pt>
                <pt idx="40">
                  <v>#N/A</v>
                </pt>
                <pt idx="41">
                  <v>#N/A</v>
                </pt>
                <pt idx="42">
                  <v>#N/A</v>
                </pt>
                <pt idx="43">
                  <v>#N/A</v>
                </pt>
                <pt idx="44">
                  <v>#N/A</v>
                </pt>
                <pt idx="45">
                  <v>#N/A</v>
                </pt>
                <pt idx="46">
                  <v>#N/A</v>
                </pt>
                <pt idx="47">
                  <v>#N/A</v>
                </pt>
                <pt idx="48">
                  <v>#N/A</v>
                </pt>
                <pt idx="49">
                  <v>#N/A</v>
                </pt>
                <pt idx="50">
                  <v>#N/A</v>
                </pt>
                <pt idx="51">
                  <v>#N/A</v>
                </pt>
                <pt idx="52">
                  <v>#N/A</v>
                </pt>
                <pt idx="53">
                  <v>#N/A</v>
                </pt>
                <pt idx="54">
                  <v>#N/A</v>
                </pt>
                <pt idx="55">
                  <v>#N/A</v>
                </pt>
                <pt idx="56">
                  <v>#N/A</v>
                </pt>
                <pt idx="57">
                  <v>#N/A</v>
                </pt>
                <pt idx="58">
                  <v>#N/A</v>
                </pt>
                <pt idx="59">
                  <v>#N/A</v>
                </pt>
                <pt idx="60">
                  <v>#N/A</v>
                </pt>
                <pt idx="61">
                  <v>#N/A</v>
                </pt>
                <pt idx="62">
                  <v>#N/A</v>
                </pt>
                <pt idx="63">
                  <v>#N/A</v>
                </pt>
                <pt idx="64">
                  <v>#N/A</v>
                </pt>
                <pt idx="65">
                  <v>#N/A</v>
                </pt>
                <pt idx="66">
                  <v>#N/A</v>
                </pt>
                <pt idx="67">
                  <v>#N/A</v>
                </pt>
                <pt idx="68">
                  <v>#N/A</v>
                </pt>
                <pt idx="69">
                  <v>#N/A</v>
                </pt>
                <pt idx="70">
                  <v>#N/A</v>
                </pt>
                <pt idx="71">
                  <v>#N/A</v>
                </pt>
                <pt idx="72">
                  <v>#N/A</v>
                </pt>
              </numCache>
            </numRef>
          </yVal>
          <smooth val="0"/>
        </ser>
        <ser>
          <idx val="4"/>
          <order val="4"/>
          <tx>
            <v>Turbo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yVal>
            <numRef>
              <f>'Data Entry 1'!$X$4:$X$76</f>
              <numCache>
                <formatCode>General</formatCode>
                <ptCount val="73"/>
                <pt idx="0">
                  <v>0</v>
                </pt>
                <pt idx="1">
                  <v>2</v>
                </pt>
                <pt idx="2">
                  <v>1</v>
                </pt>
                <pt idx="3">
                  <v>1</v>
                </pt>
                <pt idx="4">
                  <v>0</v>
                </pt>
                <pt idx="5">
                  <v>0</v>
                </pt>
                <pt idx="6">
                  <v>1</v>
                </pt>
                <pt idx="7">
                  <v>2</v>
                </pt>
                <pt idx="8">
                  <v>1</v>
                </pt>
                <pt idx="9">
                  <v>1</v>
                </pt>
                <pt idx="10">
                  <v>#N/A</v>
                </pt>
                <pt idx="11">
                  <v>#N/A</v>
                </pt>
                <pt idx="12">
                  <v>#N/A</v>
                </pt>
                <pt idx="13">
                  <v>#N/A</v>
                </pt>
                <pt idx="14">
                  <v>#N/A</v>
                </pt>
                <pt idx="15">
                  <v>#N/A</v>
                </pt>
                <pt idx="16">
                  <v>#N/A</v>
                </pt>
                <pt idx="17">
                  <v>#N/A</v>
                </pt>
                <pt idx="18">
                  <v>#N/A</v>
                </pt>
                <pt idx="19">
                  <v>#N/A</v>
                </pt>
                <pt idx="20">
                  <v>#N/A</v>
                </pt>
                <pt idx="21">
                  <v>#N/A</v>
                </pt>
                <pt idx="22">
                  <v>#N/A</v>
                </pt>
                <pt idx="23">
                  <v>#N/A</v>
                </pt>
                <pt idx="24">
                  <v>#N/A</v>
                </pt>
                <pt idx="25">
                  <v>#N/A</v>
                </pt>
                <pt idx="26">
                  <v>#N/A</v>
                </pt>
                <pt idx="27">
                  <v>#N/A</v>
                </pt>
                <pt idx="28">
                  <v>#N/A</v>
                </pt>
                <pt idx="29">
                  <v>#N/A</v>
                </pt>
                <pt idx="30">
                  <v>#N/A</v>
                </pt>
                <pt idx="31">
                  <v>#N/A</v>
                </pt>
                <pt idx="32">
                  <v>#N/A</v>
                </pt>
                <pt idx="33">
                  <v>#N/A</v>
                </pt>
                <pt idx="34">
                  <v>#N/A</v>
                </pt>
                <pt idx="35">
                  <v>#N/A</v>
                </pt>
                <pt idx="36">
                  <v>#N/A</v>
                </pt>
                <pt idx="37">
                  <v>#N/A</v>
                </pt>
                <pt idx="38">
                  <v>#N/A</v>
                </pt>
                <pt idx="39">
                  <v>#N/A</v>
                </pt>
                <pt idx="40">
                  <v>#N/A</v>
                </pt>
                <pt idx="41">
                  <v>#N/A</v>
                </pt>
                <pt idx="42">
                  <v>#N/A</v>
                </pt>
                <pt idx="43">
                  <v>#N/A</v>
                </pt>
                <pt idx="44">
                  <v>#N/A</v>
                </pt>
                <pt idx="45">
                  <v>#N/A</v>
                </pt>
                <pt idx="46">
                  <v>#N/A</v>
                </pt>
                <pt idx="47">
                  <v>#N/A</v>
                </pt>
                <pt idx="48">
                  <v>#N/A</v>
                </pt>
                <pt idx="49">
                  <v>#N/A</v>
                </pt>
                <pt idx="50">
                  <v>#N/A</v>
                </pt>
                <pt idx="51">
                  <v>#N/A</v>
                </pt>
                <pt idx="52">
                  <v>#N/A</v>
                </pt>
                <pt idx="53">
                  <v>#N/A</v>
                </pt>
                <pt idx="54">
                  <v>#N/A</v>
                </pt>
                <pt idx="55">
                  <v>#N/A</v>
                </pt>
                <pt idx="56">
                  <v>#N/A</v>
                </pt>
                <pt idx="57">
                  <v>#N/A</v>
                </pt>
                <pt idx="58">
                  <v>#N/A</v>
                </pt>
                <pt idx="59">
                  <v>#N/A</v>
                </pt>
                <pt idx="60">
                  <v>#N/A</v>
                </pt>
                <pt idx="61">
                  <v>#N/A</v>
                </pt>
                <pt idx="62">
                  <v>#N/A</v>
                </pt>
                <pt idx="63">
                  <v>#N/A</v>
                </pt>
                <pt idx="64">
                  <v>#N/A</v>
                </pt>
                <pt idx="65">
                  <v>#N/A</v>
                </pt>
                <pt idx="66">
                  <v>#N/A</v>
                </pt>
                <pt idx="67">
                  <v>#N/A</v>
                </pt>
                <pt idx="68">
                  <v>#N/A</v>
                </pt>
                <pt idx="69">
                  <v>#N/A</v>
                </pt>
                <pt idx="70">
                  <v>#N/A</v>
                </pt>
                <pt idx="71">
                  <v>#N/A</v>
                </pt>
                <pt idx="72">
                  <v>#N/A</v>
                </pt>
              </numCache>
            </numRef>
          </yVal>
          <smooth val="0"/>
        </ser>
        <ser>
          <idx val="5"/>
          <order val="5"/>
          <tx>
            <v>Coin_Boost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yVal>
            <numRef>
              <f>'Data Entry 1'!$Y$4:$Y$76</f>
              <numCache>
                <formatCode>General</formatCode>
                <ptCount val="73"/>
                <pt idx="0">
                  <v>1</v>
                </pt>
                <pt idx="1">
                  <v>1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1</v>
                </pt>
                <pt idx="6">
                  <v>0</v>
                </pt>
                <pt idx="7">
                  <v>1</v>
                </pt>
                <pt idx="8">
                  <v>1</v>
                </pt>
                <pt idx="9">
                  <v>0</v>
                </pt>
                <pt idx="10">
                  <v>#N/A</v>
                </pt>
                <pt idx="11">
                  <v>#N/A</v>
                </pt>
                <pt idx="12">
                  <v>#N/A</v>
                </pt>
                <pt idx="13">
                  <v>#N/A</v>
                </pt>
                <pt idx="14">
                  <v>#N/A</v>
                </pt>
                <pt idx="15">
                  <v>#N/A</v>
                </pt>
                <pt idx="16">
                  <v>#N/A</v>
                </pt>
                <pt idx="17">
                  <v>#N/A</v>
                </pt>
                <pt idx="18">
                  <v>#N/A</v>
                </pt>
                <pt idx="19">
                  <v>#N/A</v>
                </pt>
                <pt idx="20">
                  <v>#N/A</v>
                </pt>
                <pt idx="21">
                  <v>#N/A</v>
                </pt>
                <pt idx="22">
                  <v>#N/A</v>
                </pt>
                <pt idx="23">
                  <v>#N/A</v>
                </pt>
                <pt idx="24">
                  <v>#N/A</v>
                </pt>
                <pt idx="25">
                  <v>#N/A</v>
                </pt>
                <pt idx="26">
                  <v>#N/A</v>
                </pt>
                <pt idx="27">
                  <v>#N/A</v>
                </pt>
                <pt idx="28">
                  <v>#N/A</v>
                </pt>
                <pt idx="29">
                  <v>#N/A</v>
                </pt>
                <pt idx="30">
                  <v>#N/A</v>
                </pt>
                <pt idx="31">
                  <v>#N/A</v>
                </pt>
                <pt idx="32">
                  <v>#N/A</v>
                </pt>
                <pt idx="33">
                  <v>#N/A</v>
                </pt>
                <pt idx="34">
                  <v>#N/A</v>
                </pt>
                <pt idx="35">
                  <v>#N/A</v>
                </pt>
                <pt idx="36">
                  <v>#N/A</v>
                </pt>
                <pt idx="37">
                  <v>#N/A</v>
                </pt>
                <pt idx="38">
                  <v>#N/A</v>
                </pt>
                <pt idx="39">
                  <v>#N/A</v>
                </pt>
                <pt idx="40">
                  <v>#N/A</v>
                </pt>
                <pt idx="41">
                  <v>#N/A</v>
                </pt>
                <pt idx="42">
                  <v>#N/A</v>
                </pt>
                <pt idx="43">
                  <v>#N/A</v>
                </pt>
                <pt idx="44">
                  <v>#N/A</v>
                </pt>
                <pt idx="45">
                  <v>#N/A</v>
                </pt>
                <pt idx="46">
                  <v>#N/A</v>
                </pt>
                <pt idx="47">
                  <v>#N/A</v>
                </pt>
                <pt idx="48">
                  <v>#N/A</v>
                </pt>
                <pt idx="49">
                  <v>#N/A</v>
                </pt>
                <pt idx="50">
                  <v>#N/A</v>
                </pt>
                <pt idx="51">
                  <v>#N/A</v>
                </pt>
                <pt idx="52">
                  <v>#N/A</v>
                </pt>
                <pt idx="53">
                  <v>#N/A</v>
                </pt>
                <pt idx="54">
                  <v>#N/A</v>
                </pt>
                <pt idx="55">
                  <v>#N/A</v>
                </pt>
                <pt idx="56">
                  <v>#N/A</v>
                </pt>
                <pt idx="57">
                  <v>#N/A</v>
                </pt>
                <pt idx="58">
                  <v>#N/A</v>
                </pt>
                <pt idx="59">
                  <v>#N/A</v>
                </pt>
                <pt idx="60">
                  <v>#N/A</v>
                </pt>
                <pt idx="61">
                  <v>#N/A</v>
                </pt>
                <pt idx="62">
                  <v>#N/A</v>
                </pt>
                <pt idx="63">
                  <v>#N/A</v>
                </pt>
                <pt idx="64">
                  <v>#N/A</v>
                </pt>
                <pt idx="65">
                  <v>#N/A</v>
                </pt>
                <pt idx="66">
                  <v>#N/A</v>
                </pt>
                <pt idx="67">
                  <v>#N/A</v>
                </pt>
                <pt idx="68">
                  <v>#N/A</v>
                </pt>
                <pt idx="69">
                  <v>#N/A</v>
                </pt>
                <pt idx="70">
                  <v>#N/A</v>
                </pt>
                <pt idx="71">
                  <v>#N/A</v>
                </pt>
                <pt idx="72">
                  <v>#N/A</v>
                </pt>
              </numCache>
            </numRef>
          </yVal>
          <smooth val="0"/>
        </ser>
        <ser>
          <idx val="6"/>
          <order val="6"/>
          <tx>
            <v>Flames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yVal>
            <numRef>
              <f>'Data Entry 1'!$Z$4:$Z$76</f>
              <numCache>
                <formatCode>General</formatCode>
                <ptCount val="73"/>
                <pt idx="0">
                  <v>2</v>
                </pt>
                <pt idx="1">
                  <v>1</v>
                </pt>
                <pt idx="2">
                  <v>1</v>
                </pt>
                <pt idx="3">
                  <v>2</v>
                </pt>
                <pt idx="4">
                  <v>0</v>
                </pt>
                <pt idx="5">
                  <v>1</v>
                </pt>
                <pt idx="6">
                  <v>2</v>
                </pt>
                <pt idx="7">
                  <v>2</v>
                </pt>
                <pt idx="8">
                  <v>0</v>
                </pt>
                <pt idx="9">
                  <v>2</v>
                </pt>
                <pt idx="10">
                  <v>#N/A</v>
                </pt>
                <pt idx="11">
                  <v>#N/A</v>
                </pt>
                <pt idx="12">
                  <v>#N/A</v>
                </pt>
                <pt idx="13">
                  <v>#N/A</v>
                </pt>
                <pt idx="14">
                  <v>#N/A</v>
                </pt>
                <pt idx="15">
                  <v>#N/A</v>
                </pt>
                <pt idx="16">
                  <v>#N/A</v>
                </pt>
                <pt idx="17">
                  <v>#N/A</v>
                </pt>
                <pt idx="18">
                  <v>#N/A</v>
                </pt>
                <pt idx="19">
                  <v>#N/A</v>
                </pt>
                <pt idx="20">
                  <v>#N/A</v>
                </pt>
                <pt idx="21">
                  <v>#N/A</v>
                </pt>
                <pt idx="22">
                  <v>#N/A</v>
                </pt>
                <pt idx="23">
                  <v>#N/A</v>
                </pt>
                <pt idx="24">
                  <v>#N/A</v>
                </pt>
                <pt idx="25">
                  <v>#N/A</v>
                </pt>
                <pt idx="26">
                  <v>#N/A</v>
                </pt>
                <pt idx="27">
                  <v>#N/A</v>
                </pt>
                <pt idx="28">
                  <v>#N/A</v>
                </pt>
                <pt idx="29">
                  <v>#N/A</v>
                </pt>
                <pt idx="30">
                  <v>#N/A</v>
                </pt>
                <pt idx="31">
                  <v>#N/A</v>
                </pt>
                <pt idx="32">
                  <v>#N/A</v>
                </pt>
                <pt idx="33">
                  <v>#N/A</v>
                </pt>
                <pt idx="34">
                  <v>#N/A</v>
                </pt>
                <pt idx="35">
                  <v>#N/A</v>
                </pt>
                <pt idx="36">
                  <v>#N/A</v>
                </pt>
                <pt idx="37">
                  <v>#N/A</v>
                </pt>
                <pt idx="38">
                  <v>#N/A</v>
                </pt>
                <pt idx="39">
                  <v>#N/A</v>
                </pt>
                <pt idx="40">
                  <v>#N/A</v>
                </pt>
                <pt idx="41">
                  <v>#N/A</v>
                </pt>
                <pt idx="42">
                  <v>#N/A</v>
                </pt>
                <pt idx="43">
                  <v>#N/A</v>
                </pt>
                <pt idx="44">
                  <v>#N/A</v>
                </pt>
                <pt idx="45">
                  <v>#N/A</v>
                </pt>
                <pt idx="46">
                  <v>#N/A</v>
                </pt>
                <pt idx="47">
                  <v>#N/A</v>
                </pt>
                <pt idx="48">
                  <v>#N/A</v>
                </pt>
                <pt idx="49">
                  <v>#N/A</v>
                </pt>
                <pt idx="50">
                  <v>#N/A</v>
                </pt>
                <pt idx="51">
                  <v>#N/A</v>
                </pt>
                <pt idx="52">
                  <v>#N/A</v>
                </pt>
                <pt idx="53">
                  <v>#N/A</v>
                </pt>
                <pt idx="54">
                  <v>#N/A</v>
                </pt>
                <pt idx="55">
                  <v>#N/A</v>
                </pt>
                <pt idx="56">
                  <v>#N/A</v>
                </pt>
                <pt idx="57">
                  <v>#N/A</v>
                </pt>
                <pt idx="58">
                  <v>#N/A</v>
                </pt>
                <pt idx="59">
                  <v>#N/A</v>
                </pt>
                <pt idx="60">
                  <v>#N/A</v>
                </pt>
                <pt idx="61">
                  <v>#N/A</v>
                </pt>
                <pt idx="62">
                  <v>#N/A</v>
                </pt>
                <pt idx="63">
                  <v>#N/A</v>
                </pt>
                <pt idx="64">
                  <v>#N/A</v>
                </pt>
                <pt idx="65">
                  <v>#N/A</v>
                </pt>
                <pt idx="66">
                  <v>#N/A</v>
                </pt>
                <pt idx="67">
                  <v>#N/A</v>
                </pt>
                <pt idx="68">
                  <v>#N/A</v>
                </pt>
                <pt idx="69">
                  <v>#N/A</v>
                </pt>
                <pt idx="70">
                  <v>#N/A</v>
                </pt>
                <pt idx="71">
                  <v>#N/A</v>
                </pt>
                <pt idx="72">
                  <v>#N/A</v>
                </pt>
              </numCache>
            </numRef>
          </yVal>
          <smooth val="0"/>
        </ser>
        <ser>
          <idx val="7"/>
          <order val="7"/>
          <tx>
            <v>Gem_Color_Change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yVal>
            <numRef>
              <f>'Data Entry 1'!$AD$4:$AD$76</f>
              <numCache>
                <formatCode>General</formatCode>
                <ptCount val="73"/>
                <pt idx="0">
                  <v>0</v>
                </pt>
                <pt idx="1">
                  <v>0</v>
                </pt>
                <pt idx="2">
                  <v>2</v>
                </pt>
                <pt idx="3">
                  <v>0</v>
                </pt>
                <pt idx="4">
                  <v>0</v>
                </pt>
                <pt idx="5">
                  <v>1</v>
                </pt>
                <pt idx="6">
                  <v>1</v>
                </pt>
                <pt idx="7">
                  <v>3</v>
                </pt>
                <pt idx="8">
                  <v>3</v>
                </pt>
                <pt idx="9">
                  <v>2</v>
                </pt>
                <pt idx="10">
                  <v>#N/A</v>
                </pt>
                <pt idx="11">
                  <v>#N/A</v>
                </pt>
                <pt idx="12">
                  <v>#N/A</v>
                </pt>
                <pt idx="13">
                  <v>#N/A</v>
                </pt>
                <pt idx="14">
                  <v>#N/A</v>
                </pt>
                <pt idx="15">
                  <v>#N/A</v>
                </pt>
                <pt idx="16">
                  <v>#N/A</v>
                </pt>
                <pt idx="17">
                  <v>#N/A</v>
                </pt>
                <pt idx="18">
                  <v>#N/A</v>
                </pt>
                <pt idx="19">
                  <v>#N/A</v>
                </pt>
                <pt idx="20">
                  <v>#N/A</v>
                </pt>
                <pt idx="21">
                  <v>#N/A</v>
                </pt>
                <pt idx="22">
                  <v>#N/A</v>
                </pt>
                <pt idx="23">
                  <v>#N/A</v>
                </pt>
                <pt idx="24">
                  <v>#N/A</v>
                </pt>
                <pt idx="25">
                  <v>#N/A</v>
                </pt>
                <pt idx="26">
                  <v>#N/A</v>
                </pt>
                <pt idx="27">
                  <v>#N/A</v>
                </pt>
                <pt idx="28">
                  <v>#N/A</v>
                </pt>
                <pt idx="29">
                  <v>#N/A</v>
                </pt>
                <pt idx="30">
                  <v>#N/A</v>
                </pt>
                <pt idx="31">
                  <v>#N/A</v>
                </pt>
                <pt idx="32">
                  <v>#N/A</v>
                </pt>
                <pt idx="33">
                  <v>#N/A</v>
                </pt>
                <pt idx="34">
                  <v>#N/A</v>
                </pt>
                <pt idx="35">
                  <v>#N/A</v>
                </pt>
                <pt idx="36">
                  <v>#N/A</v>
                </pt>
                <pt idx="37">
                  <v>#N/A</v>
                </pt>
                <pt idx="38">
                  <v>#N/A</v>
                </pt>
                <pt idx="39">
                  <v>#N/A</v>
                </pt>
                <pt idx="40">
                  <v>#N/A</v>
                </pt>
                <pt idx="41">
                  <v>#N/A</v>
                </pt>
                <pt idx="42">
                  <v>#N/A</v>
                </pt>
                <pt idx="43">
                  <v>#N/A</v>
                </pt>
                <pt idx="44">
                  <v>#N/A</v>
                </pt>
                <pt idx="45">
                  <v>#N/A</v>
                </pt>
                <pt idx="46">
                  <v>#N/A</v>
                </pt>
                <pt idx="47">
                  <v>#N/A</v>
                </pt>
                <pt idx="48">
                  <v>#N/A</v>
                </pt>
                <pt idx="49">
                  <v>#N/A</v>
                </pt>
                <pt idx="50">
                  <v>#N/A</v>
                </pt>
                <pt idx="51">
                  <v>#N/A</v>
                </pt>
                <pt idx="52">
                  <v>#N/A</v>
                </pt>
                <pt idx="53">
                  <v>#N/A</v>
                </pt>
                <pt idx="54">
                  <v>#N/A</v>
                </pt>
                <pt idx="55">
                  <v>#N/A</v>
                </pt>
                <pt idx="56">
                  <v>#N/A</v>
                </pt>
                <pt idx="57">
                  <v>#N/A</v>
                </pt>
                <pt idx="58">
                  <v>#N/A</v>
                </pt>
                <pt idx="59">
                  <v>#N/A</v>
                </pt>
                <pt idx="60">
                  <v>#N/A</v>
                </pt>
                <pt idx="61">
                  <v>#N/A</v>
                </pt>
                <pt idx="62">
                  <v>#N/A</v>
                </pt>
                <pt idx="63">
                  <v>#N/A</v>
                </pt>
                <pt idx="64">
                  <v>#N/A</v>
                </pt>
                <pt idx="65">
                  <v>#N/A</v>
                </pt>
                <pt idx="66">
                  <v>#N/A</v>
                </pt>
                <pt idx="67">
                  <v>#N/A</v>
                </pt>
                <pt idx="68">
                  <v>#N/A</v>
                </pt>
                <pt idx="69">
                  <v>#N/A</v>
                </pt>
                <pt idx="70">
                  <v>#N/A</v>
                </pt>
                <pt idx="71">
                  <v>#N/A</v>
                </pt>
                <pt idx="72">
                  <v>#N/A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-1193588688"/>
        <axId val="-1657505456"/>
      </scatterChart>
      <valAx>
        <axId val="-1193588688"/>
        <scaling>
          <orientation val="minMax"/>
          <max val="10"/>
        </scaling>
        <delete val="0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Sessions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55823378603387"/>
              <y val="0.9271652518008791"/>
            </manualLayout>
          </layout>
          <overlay val="0"/>
          <spPr>
            <a:noFill/>
            <a:ln w="25400">
              <a:noFill/>
              <a:prstDash val="solid"/>
            </a:ln>
          </spPr>
        </title>
        <numFmt formatCode="General" sourceLinked="1"/>
        <majorTickMark val="out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/>
            </a:pPr>
            <a:r>
              <a:t>None</a:t>
            </a:r>
            <a:endParaRPr lang="en-US"/>
          </a:p>
        </txPr>
        <crossAx val="-1657505456"/>
        <crosses val="autoZero"/>
        <crossBetween val="midCat"/>
        <majorUnit val="5"/>
      </valAx>
      <valAx>
        <axId val="-1657505456"/>
        <scaling>
          <orientation val="minMax"/>
          <max val="80"/>
          <min val="0"/>
        </scaling>
        <delete val="0"/>
        <axPos val="l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664513911343768"/>
              <y val="0.3181354125187859"/>
            </manualLayout>
          </layout>
          <overlay val="0"/>
          <spPr>
            <a:solidFill>
              <a:sysClr val="window" lastClr="FFFFFF"/>
            </a:solidFill>
            <a:ln w="25400">
              <a:noFill/>
              <a:prstDash val="solid"/>
            </a:ln>
          </spPr>
        </title>
        <numFmt formatCode="0" sourceLinked="0"/>
        <majorTickMark val="out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/>
            </a:pPr>
            <a:r>
              <a:t>None</a:t>
            </a:r>
            <a:endParaRPr lang="en-US"/>
          </a:p>
        </txPr>
        <crossAx val="-1193588688"/>
        <crosses val="autoZero"/>
        <crossBetween val="midCat"/>
      </valAx>
    </plotArea>
    <legend>
      <legendPos val="r"/>
      <legendEntry>
        <idx val="1"/>
        <delete val="1"/>
      </legendEntry>
      <overlay val="0"/>
    </legend>
    <plotVisOnly val="1"/>
    <dispBlanksAs val="gap"/>
  </chart>
  <spPr>
    <a:noFill/>
    <a:ln w="9525">
      <a:noFill/>
      <a:prstDash val="solid"/>
    </a:ln>
  </spPr>
</chartSpace>
</file>

<file path=xl/chart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chart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chart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chart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chart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chartsheets/sheet1.xml><?xml version="1.0" encoding="utf-8"?>
<chartsheet xmlns:r="http://schemas.openxmlformats.org/officeDocument/2006/relationships" xmlns="http://schemas.openxmlformats.org/spreadsheetml/2006/main">
  <sheetPr/>
  <sheetViews>
    <sheetView zoomScale="103" workbookViewId="0" zoomToFit="1"/>
  </sheetViews>
  <pageMargins left="0.75" right="0.75" top="1" bottom="1" header="0.5" footer="0.5"/>
  <pageSetup orientation="landscape"/>
  <drawing r:id="rId1"/>
</chartsheet>
</file>

<file path=xl/chartsheets/sheet2.xml><?xml version="1.0" encoding="utf-8"?>
<chartsheet xmlns:r="http://schemas.openxmlformats.org/officeDocument/2006/relationships" xmlns="http://schemas.openxmlformats.org/spreadsheetml/2006/main">
  <sheetPr/>
  <sheetViews>
    <sheetView workbookViewId="0" zoomToFit="1"/>
  </sheetViews>
  <pageMargins left="0.75" right="0.75" top="1" bottom="1" header="0.5" footer="0.5"/>
  <pageSetup orientation="landscape"/>
  <drawing r:id="rId1"/>
</chartsheet>
</file>

<file path=xl/chartsheets/sheet3.xml><?xml version="1.0" encoding="utf-8"?>
<chartsheet xmlns:r="http://schemas.openxmlformats.org/officeDocument/2006/relationships" xmlns="http://schemas.openxmlformats.org/spreadsheetml/2006/main">
  <sheetPr/>
  <sheetViews>
    <sheetView zoomScale="91" workbookViewId="0" zoomToFit="1"/>
  </sheetViews>
  <pageMargins left="0.75" right="0.75" top="1" bottom="1" header="0.5" footer="0.5"/>
  <pageSetup orientation="landscape"/>
  <drawing r:id="rId1"/>
</chartsheet>
</file>

<file path=xl/chartsheets/sheet4.xml><?xml version="1.0" encoding="utf-8"?>
<chartsheet xmlns:r="http://schemas.openxmlformats.org/officeDocument/2006/relationships" xmlns="http://schemas.openxmlformats.org/spreadsheetml/2006/main">
  <sheetPr/>
  <sheetViews>
    <sheetView workbookViewId="0" zoomToFit="1"/>
  </sheetViews>
  <pageMargins left="0.75" right="0.75" top="1" bottom="1" header="0.5" footer="0.5"/>
  <pageSetup orientation="landscape"/>
  <drawing r:id="rId1"/>
</chartsheet>
</file>

<file path=xl/chartsheets/sheet5.xml><?xml version="1.0" encoding="utf-8"?>
<chartsheet xmlns:r="http://schemas.openxmlformats.org/officeDocument/2006/relationships" xmlns="http://schemas.openxmlformats.org/spreadsheetml/2006/main">
  <sheetPr/>
  <sheetViews>
    <sheetView workbookViewId="0" zoomToFit="1"/>
  </sheetViews>
  <pageMargins left="0.75" right="0.75" top="1" bottom="1" header="0.5" footer="0.5"/>
  <pageSetup orientation="landscape"/>
  <drawing r:id="rId1"/>
</chartsheet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absoluteAnchor>
    <pos x="0" y="0"/>
    <ext cx="0" cy="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absolute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absoluteAnchor>
    <pos x="0" y="0"/>
    <ext cx="0" cy="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absolute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absoluteAnchor>
    <pos x="0" y="0"/>
    <ext cx="0" cy="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absolute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absoluteAnchor>
    <pos x="0" y="0"/>
    <ext cx="0" cy="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absolute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absoluteAnchor>
    <pos x="0" y="0"/>
    <ext cx="0" cy="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absolute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AL98"/>
  <sheetViews>
    <sheetView workbookViewId="0">
      <selection activeCell="C8" sqref="C8"/>
    </sheetView>
  </sheetViews>
  <sheetFormatPr baseColWidth="8" defaultRowHeight="15" outlineLevelCol="0"/>
  <cols>
    <col width="14.28515625" bestFit="1" customWidth="1" style="20" min="1" max="1"/>
    <col width="22.28515625" bestFit="1" customWidth="1" style="20" min="2" max="2"/>
    <col width="23.7109375" bestFit="1" customWidth="1" style="20" min="3" max="3"/>
    <col width="3.140625" customWidth="1" style="20" min="4" max="4"/>
    <col width="16.28515625" customWidth="1" style="20" min="5" max="9"/>
    <col width="6.7109375" customWidth="1" style="6" min="10" max="10"/>
    <col width="28.42578125" bestFit="1" customWidth="1" style="20" min="11" max="11"/>
    <col width="3.5703125" customWidth="1" style="20" min="12" max="12"/>
    <col width="28.5703125" bestFit="1" customWidth="1" style="20" min="13" max="13"/>
    <col width="14.7109375" bestFit="1" customWidth="1" style="20" min="14" max="14"/>
    <col width="10.5703125" bestFit="1" customWidth="1" style="20" min="17" max="17"/>
    <col width="10.5703125" customWidth="1" style="20" min="18" max="21"/>
    <col width="12.42578125" bestFit="1" customWidth="1" style="20" min="24" max="24"/>
  </cols>
  <sheetData>
    <row r="1">
      <c r="A1" s="19" t="inlineStr">
        <is>
          <t>DATA ENTRY</t>
        </is>
      </c>
    </row>
    <row r="2"/>
    <row r="3"/>
    <row r="4">
      <c r="K4" s="16" t="inlineStr">
        <is>
          <t>Initials of person entering data:</t>
        </is>
      </c>
      <c r="M4" s="16" t="inlineStr">
        <is>
          <t>Initials of person checking data:</t>
        </is>
      </c>
    </row>
    <row r="5">
      <c r="A5" s="21" t="n"/>
      <c r="B5" s="21" t="n"/>
      <c r="C5" s="21" t="n"/>
      <c r="K5" s="10" t="n"/>
      <c r="M5" s="10" t="n"/>
    </row>
    <row r="6">
      <c r="A6" s="2" t="inlineStr">
        <is>
          <t>Phase</t>
        </is>
      </c>
      <c r="B6" s="16" t="inlineStr">
        <is>
          <t>Baseline</t>
        </is>
      </c>
      <c r="C6" s="3" t="n"/>
      <c r="E6" s="12" t="inlineStr">
        <is>
          <t>IOA</t>
        </is>
      </c>
      <c r="F6" s="12" t="inlineStr">
        <is>
          <t>Power Ups</t>
        </is>
      </c>
      <c r="G6" s="12" t="inlineStr">
        <is>
          <t>Freq</t>
        </is>
      </c>
      <c r="H6" s="12" t="inlineStr">
        <is>
          <t>Power Ups</t>
        </is>
      </c>
      <c r="I6" s="12" t="inlineStr">
        <is>
          <t>Freq</t>
        </is>
      </c>
    </row>
    <row r="7">
      <c r="A7" s="2" t="inlineStr">
        <is>
          <t>Trial Type</t>
        </is>
      </c>
      <c r="B7" s="16" t="inlineStr">
        <is>
          <t>Baseline</t>
        </is>
      </c>
      <c r="C7" s="4" t="inlineStr">
        <is>
          <t>Resp per Min</t>
        </is>
      </c>
      <c r="F7" t="inlineStr">
        <is>
          <t>Barrel Roll</t>
        </is>
      </c>
      <c r="G7" s="10" t="e">
        <v>#N/A</v>
      </c>
      <c r="H7" t="inlineStr">
        <is>
          <t>Flame Change</t>
        </is>
      </c>
      <c r="I7" s="10" t="e">
        <v>#N/A</v>
      </c>
    </row>
    <row r="8">
      <c r="A8" s="2" t="inlineStr">
        <is>
          <t>Session</t>
        </is>
      </c>
      <c r="B8" s="16" t="n">
        <v>1</v>
      </c>
      <c r="C8" s="1">
        <f>B9</f>
        <v/>
      </c>
      <c r="E8" s="11" t="inlineStr">
        <is>
          <t>IOA</t>
        </is>
      </c>
      <c r="F8" s="12" t="inlineStr">
        <is>
          <t>Spins</t>
        </is>
      </c>
      <c r="G8" s="10" t="e">
        <v>#N/A</v>
      </c>
      <c r="H8" s="12" t="inlineStr">
        <is>
          <t>Red token</t>
        </is>
      </c>
      <c r="I8" s="10" t="e">
        <v>#N/A</v>
      </c>
    </row>
    <row r="9">
      <c r="A9" s="2" t="inlineStr">
        <is>
          <t>Target Resp</t>
        </is>
      </c>
      <c r="B9" s="8" t="e">
        <v>#N/A</v>
      </c>
      <c r="C9" s="4" t="n"/>
      <c r="E9" s="11" t="inlineStr">
        <is>
          <t>Y/E</t>
        </is>
      </c>
      <c r="F9" s="12" t="inlineStr">
        <is>
          <t>Speed Boosts</t>
        </is>
      </c>
      <c r="G9" s="10" t="e">
        <v>#N/A</v>
      </c>
      <c r="H9" s="12" t="inlineStr">
        <is>
          <t>Blue Token</t>
        </is>
      </c>
      <c r="I9" s="10" t="e">
        <v>#N/A</v>
      </c>
    </row>
    <row r="10">
      <c r="A10" s="2" t="inlineStr">
        <is>
          <t>Asteroids</t>
        </is>
      </c>
      <c r="B10" s="8" t="e">
        <v>#N/A</v>
      </c>
      <c r="C10" s="4" t="inlineStr">
        <is>
          <t>Reinf per Min</t>
        </is>
      </c>
      <c r="E10" s="11" t="inlineStr">
        <is>
          <t>Y/E</t>
        </is>
      </c>
      <c r="F10" s="12" t="inlineStr">
        <is>
          <t>Coin Boost</t>
        </is>
      </c>
      <c r="G10" s="10" t="e">
        <v>#N/A</v>
      </c>
      <c r="H10" s="12" t="inlineStr">
        <is>
          <t>Yellow Token</t>
        </is>
      </c>
      <c r="I10" s="10" t="e">
        <v>#N/A</v>
      </c>
    </row>
    <row r="11">
      <c r="A11" s="2" t="inlineStr">
        <is>
          <t>Total Points:</t>
        </is>
      </c>
      <c r="B11" s="8" t="e">
        <v>#N/A</v>
      </c>
      <c r="C11" s="1">
        <f>((B11/5))</f>
        <v/>
      </c>
      <c r="E11" s="11" t="inlineStr">
        <is>
          <t>Y/E</t>
        </is>
      </c>
      <c r="F11" s="12" t="n"/>
      <c r="G11" s="12" t="n"/>
      <c r="H11" s="12" t="inlineStr">
        <is>
          <t>Crash</t>
        </is>
      </c>
      <c r="I11" s="10" t="e">
        <v>#N/A</v>
      </c>
      <c r="AI11" t="inlineStr">
        <is>
          <t>Alt 1</t>
        </is>
      </c>
      <c r="AJ11" t="inlineStr">
        <is>
          <t>Alt 2</t>
        </is>
      </c>
      <c r="AK11" t="inlineStr">
        <is>
          <t>target 1</t>
        </is>
      </c>
      <c r="AL11" t="inlineStr">
        <is>
          <t>Target 2</t>
        </is>
      </c>
    </row>
    <row r="12">
      <c r="E12" s="12" t="n"/>
      <c r="F12" s="12" t="n"/>
      <c r="G12" s="12" t="n"/>
      <c r="H12" s="12" t="n"/>
      <c r="I12" s="12" t="n"/>
    </row>
    <row r="13">
      <c r="A13" s="2" t="inlineStr">
        <is>
          <t>Phase</t>
        </is>
      </c>
      <c r="B13" s="16" t="inlineStr">
        <is>
          <t>Baseline</t>
        </is>
      </c>
      <c r="C13" s="3" t="n"/>
      <c r="F13" s="12" t="inlineStr">
        <is>
          <t>Power Ups</t>
        </is>
      </c>
      <c r="G13" s="12" t="inlineStr">
        <is>
          <t>Freq</t>
        </is>
      </c>
      <c r="H13" s="12" t="inlineStr">
        <is>
          <t>Power Ups</t>
        </is>
      </c>
      <c r="I13" s="12" t="inlineStr">
        <is>
          <t>Freq</t>
        </is>
      </c>
      <c r="AH13" t="n">
        <v>2</v>
      </c>
      <c r="AI13" t="n">
        <v>0.288</v>
      </c>
      <c r="AJ13" t="n">
        <v>1.992094861660079</v>
      </c>
      <c r="AK13" t="n">
        <v>0.3103448275862069</v>
      </c>
      <c r="AL13" t="n">
        <v>0.05172413793103449</v>
      </c>
    </row>
    <row r="14">
      <c r="A14" s="2" t="inlineStr">
        <is>
          <t>Trial Type</t>
        </is>
      </c>
      <c r="B14" s="16" t="inlineStr">
        <is>
          <t>Baseline</t>
        </is>
      </c>
      <c r="C14" s="4" t="inlineStr">
        <is>
          <t>Resp per Min</t>
        </is>
      </c>
      <c r="F14" t="inlineStr">
        <is>
          <t>Barrel Roll</t>
        </is>
      </c>
      <c r="G14" s="10" t="e">
        <v>#N/A</v>
      </c>
      <c r="H14" t="inlineStr">
        <is>
          <t>Flame Change</t>
        </is>
      </c>
      <c r="I14" s="10" t="e">
        <v>#N/A</v>
      </c>
      <c r="AH14" t="n">
        <v>3</v>
      </c>
      <c r="AI14" t="n">
        <v>0.192</v>
      </c>
      <c r="AJ14" t="n">
        <v>0.4505928853754941</v>
      </c>
      <c r="AK14" t="n">
        <v>0.07758620689655173</v>
      </c>
      <c r="AL14" t="n">
        <v>0.02586206896551724</v>
      </c>
    </row>
    <row r="15">
      <c r="A15" s="2" t="inlineStr">
        <is>
          <t>Session</t>
        </is>
      </c>
      <c r="B15" s="16">
        <f>B8+1</f>
        <v/>
      </c>
      <c r="C15" s="1">
        <f>B16</f>
        <v/>
      </c>
      <c r="E15" s="11" t="inlineStr">
        <is>
          <t>IOA</t>
        </is>
      </c>
      <c r="F15" s="12" t="inlineStr">
        <is>
          <t>Spins</t>
        </is>
      </c>
      <c r="G15" s="10" t="e">
        <v>#N/A</v>
      </c>
      <c r="H15" s="12" t="inlineStr">
        <is>
          <t>Red token</t>
        </is>
      </c>
      <c r="I15" s="10" t="e">
        <v>#N/A</v>
      </c>
    </row>
    <row r="16">
      <c r="A16" s="2" t="inlineStr">
        <is>
          <t>Target Resp</t>
        </is>
      </c>
      <c r="B16" s="8" t="e">
        <v>#N/A</v>
      </c>
      <c r="E16" s="11" t="inlineStr">
        <is>
          <t>Y/E</t>
        </is>
      </c>
      <c r="F16" s="12" t="inlineStr">
        <is>
          <t>Speed Boosts</t>
        </is>
      </c>
      <c r="G16" s="10" t="e">
        <v>#N/A</v>
      </c>
      <c r="H16" s="12" t="inlineStr">
        <is>
          <t>Blue Token</t>
        </is>
      </c>
      <c r="I16" s="10" t="e">
        <v>#N/A</v>
      </c>
      <c r="AH16" t="inlineStr">
        <is>
          <t>Slope</t>
        </is>
      </c>
      <c r="AI16" t="n">
        <v>-0.672</v>
      </c>
      <c r="AJ16" t="n">
        <v>-0.6521739130434783</v>
      </c>
      <c r="AK16" t="n">
        <v>-0.8663793103448276</v>
      </c>
      <c r="AL16" t="n">
        <v>-0.06465517241379311</v>
      </c>
    </row>
    <row r="17">
      <c r="A17" s="2" t="inlineStr">
        <is>
          <t>Asteroids</t>
        </is>
      </c>
      <c r="B17" s="8" t="e">
        <v>#N/A</v>
      </c>
      <c r="C17" s="4" t="inlineStr">
        <is>
          <t>Reinf per Min</t>
        </is>
      </c>
      <c r="E17" s="11" t="inlineStr">
        <is>
          <t>Y/E</t>
        </is>
      </c>
      <c r="F17" s="12" t="inlineStr">
        <is>
          <t>Coin Boost</t>
        </is>
      </c>
      <c r="G17" s="10" t="e">
        <v>#N/A</v>
      </c>
      <c r="H17" s="12" t="inlineStr">
        <is>
          <t>Yellow Token</t>
        </is>
      </c>
      <c r="I17" s="10" t="e">
        <v>#N/A</v>
      </c>
    </row>
    <row r="18">
      <c r="A18" s="2" t="inlineStr">
        <is>
          <t>Total Points:</t>
        </is>
      </c>
      <c r="B18" s="8" t="e">
        <v>#N/A</v>
      </c>
      <c r="C18" s="1">
        <f>(((B18-B11)/5))</f>
        <v/>
      </c>
      <c r="D18">
        <f>B18/5</f>
        <v/>
      </c>
      <c r="E18" s="11" t="inlineStr">
        <is>
          <t>Y/E</t>
        </is>
      </c>
      <c r="F18" s="12" t="n"/>
      <c r="G18" s="12" t="n"/>
      <c r="H18" s="12" t="inlineStr">
        <is>
          <t>Crash</t>
        </is>
      </c>
      <c r="I18" s="10" t="e">
        <v>#N/A</v>
      </c>
      <c r="AH18" t="inlineStr">
        <is>
          <t>N</t>
        </is>
      </c>
      <c r="AI18" t="n">
        <v>3</v>
      </c>
      <c r="AJ18" t="n">
        <v>3</v>
      </c>
      <c r="AK18" t="n">
        <v>3</v>
      </c>
      <c r="AL18" t="n">
        <v>3</v>
      </c>
    </row>
    <row r="19">
      <c r="AH19" t="inlineStr">
        <is>
          <t>Se(reg)</t>
        </is>
      </c>
      <c r="AI19" t="n">
        <v>0.4703020306143701</v>
      </c>
      <c r="AJ19" t="n">
        <v>0.7261333229594401</v>
      </c>
      <c r="AK19" t="n">
        <v>0.5173491267085163</v>
      </c>
      <c r="AL19" t="n">
        <v>0.03167443632909279</v>
      </c>
    </row>
    <row r="20">
      <c r="A20" s="2" t="inlineStr">
        <is>
          <t>Phase</t>
        </is>
      </c>
      <c r="B20" s="16" t="inlineStr">
        <is>
          <t>Baseline</t>
        </is>
      </c>
      <c r="C20" s="3" t="n"/>
      <c r="F20" s="12" t="inlineStr">
        <is>
          <t>Power Ups</t>
        </is>
      </c>
      <c r="G20" s="12" t="inlineStr">
        <is>
          <t>Freq</t>
        </is>
      </c>
      <c r="H20" s="12" t="inlineStr">
        <is>
          <t>Power Ups</t>
        </is>
      </c>
      <c r="I20" s="12" t="inlineStr">
        <is>
          <t>Freq</t>
        </is>
      </c>
      <c r="AH20" t="inlineStr">
        <is>
          <t>SE (slope)</t>
        </is>
      </c>
      <c r="AI20" t="n">
        <v>0.3325537550532244</v>
      </c>
      <c r="AJ20" t="n">
        <v>0.5134537967101415</v>
      </c>
      <c r="AK20" t="n">
        <v>0.3658210757365303</v>
      </c>
      <c r="AL20" t="n">
        <v>0.02239720871856304</v>
      </c>
    </row>
    <row r="21">
      <c r="A21" s="2" t="inlineStr">
        <is>
          <t>Trial Type</t>
        </is>
      </c>
      <c r="B21" s="16" t="inlineStr">
        <is>
          <t>Baseline</t>
        </is>
      </c>
      <c r="C21" s="4" t="inlineStr">
        <is>
          <t>Resp per Min</t>
        </is>
      </c>
      <c r="F21" t="inlineStr">
        <is>
          <t>Barrel Roll</t>
        </is>
      </c>
      <c r="G21" s="10" t="e">
        <v>#N/A</v>
      </c>
      <c r="H21" t="inlineStr">
        <is>
          <t>Flame Change</t>
        </is>
      </c>
      <c r="I21" s="10" t="e">
        <v>#N/A</v>
      </c>
      <c r="AI21" t="inlineStr">
        <is>
          <t>Dif</t>
        </is>
      </c>
      <c r="AJ21" t="n">
        <v>0.01982608695652177</v>
      </c>
      <c r="AK21" t="inlineStr">
        <is>
          <t>Dif</t>
        </is>
      </c>
      <c r="AL21" t="n">
        <v>0.8017241379310345</v>
      </c>
    </row>
    <row r="22">
      <c r="A22" s="2" t="inlineStr">
        <is>
          <t>Session</t>
        </is>
      </c>
      <c r="B22" s="16">
        <f>B15+1</f>
        <v/>
      </c>
      <c r="C22" s="1">
        <f>B23</f>
        <v/>
      </c>
      <c r="E22" s="11" t="inlineStr">
        <is>
          <t>IOA</t>
        </is>
      </c>
      <c r="F22" s="12" t="inlineStr">
        <is>
          <t>Spins</t>
        </is>
      </c>
      <c r="G22" s="10" t="e">
        <v>#N/A</v>
      </c>
      <c r="H22" s="12" t="inlineStr">
        <is>
          <t>Red token</t>
        </is>
      </c>
      <c r="I22" s="10" t="e">
        <v>#N/A</v>
      </c>
      <c r="AI22" t="inlineStr">
        <is>
          <t>SE (Dif)</t>
        </is>
      </c>
      <c r="AJ22" t="n">
        <v>0.6117407958899417</v>
      </c>
      <c r="AK22" t="inlineStr">
        <is>
          <t>SE (Dif)</t>
        </is>
      </c>
      <c r="AL22" t="n">
        <v>0.3665060632669194</v>
      </c>
    </row>
    <row r="23">
      <c r="A23" s="2" t="inlineStr">
        <is>
          <t>Target Resp</t>
        </is>
      </c>
      <c r="B23" s="8" t="e">
        <v>#N/A</v>
      </c>
      <c r="E23" s="11" t="inlineStr">
        <is>
          <t>Y/E</t>
        </is>
      </c>
      <c r="F23" s="12" t="inlineStr">
        <is>
          <t>Speed Boosts</t>
        </is>
      </c>
      <c r="G23" s="10" t="e">
        <v>#N/A</v>
      </c>
      <c r="H23" s="12" t="inlineStr">
        <is>
          <t>Blue Token</t>
        </is>
      </c>
      <c r="I23" s="10" t="e">
        <v>#N/A</v>
      </c>
      <c r="AI23" t="inlineStr">
        <is>
          <t>T-stat</t>
        </is>
      </c>
      <c r="AJ23" t="n">
        <v>0.03240929342905665</v>
      </c>
      <c r="AK23" t="inlineStr">
        <is>
          <t>T-stat</t>
        </is>
      </c>
      <c r="AL23" t="n">
        <v>2.187478512046209</v>
      </c>
    </row>
    <row r="24">
      <c r="A24" s="2" t="inlineStr">
        <is>
          <t>Asteroids</t>
        </is>
      </c>
      <c r="B24" s="8" t="e">
        <v>#N/A</v>
      </c>
      <c r="C24" s="4" t="inlineStr">
        <is>
          <t>Reinf per Min</t>
        </is>
      </c>
      <c r="E24" s="11" t="inlineStr">
        <is>
          <t>Y/E</t>
        </is>
      </c>
      <c r="F24" s="12" t="inlineStr">
        <is>
          <t>Coin Boost</t>
        </is>
      </c>
      <c r="G24" s="10" t="e">
        <v>#N/A</v>
      </c>
      <c r="H24" s="12" t="inlineStr">
        <is>
          <t>Yellow Token</t>
        </is>
      </c>
      <c r="I24" s="10" t="e">
        <v>#N/A</v>
      </c>
    </row>
    <row r="25">
      <c r="A25" s="2" t="inlineStr">
        <is>
          <t>Total Points:</t>
        </is>
      </c>
      <c r="B25" s="8" t="e">
        <v>#N/A</v>
      </c>
      <c r="C25" s="1">
        <f>(((B25-B18)/5))</f>
        <v/>
      </c>
      <c r="D25">
        <f>B25/5</f>
        <v/>
      </c>
      <c r="E25" s="11" t="inlineStr">
        <is>
          <t>Y/E</t>
        </is>
      </c>
      <c r="F25" s="12" t="n"/>
      <c r="G25" s="12" t="n"/>
      <c r="H25" s="12" t="inlineStr">
        <is>
          <t>Crash</t>
        </is>
      </c>
      <c r="I25" s="10" t="e">
        <v>#N/A</v>
      </c>
      <c r="AI25" t="inlineStr">
        <is>
          <t>DF</t>
        </is>
      </c>
      <c r="AJ25" t="n">
        <v>4</v>
      </c>
      <c r="AK25" t="inlineStr">
        <is>
          <t>DF</t>
        </is>
      </c>
      <c r="AL25" t="n">
        <v>4</v>
      </c>
    </row>
    <row r="26">
      <c r="AI26" t="inlineStr">
        <is>
          <t>P</t>
        </is>
      </c>
      <c r="AJ26" t="n">
        <v>0.975698347446445</v>
      </c>
      <c r="AK26" t="inlineStr">
        <is>
          <t>P</t>
        </is>
      </c>
      <c r="AL26" t="n">
        <v>0.09395621178027849</v>
      </c>
    </row>
    <row r="27">
      <c r="A27" s="2" t="inlineStr">
        <is>
          <t>Phase</t>
        </is>
      </c>
      <c r="B27" s="16" t="inlineStr">
        <is>
          <t>Baseline</t>
        </is>
      </c>
      <c r="C27" s="3" t="n"/>
      <c r="F27" s="12" t="inlineStr">
        <is>
          <t>Power Ups</t>
        </is>
      </c>
      <c r="G27" s="12" t="inlineStr">
        <is>
          <t>Freq</t>
        </is>
      </c>
      <c r="H27" s="12" t="inlineStr">
        <is>
          <t>Power Ups</t>
        </is>
      </c>
      <c r="I27" s="12" t="inlineStr">
        <is>
          <t>Freq</t>
        </is>
      </c>
    </row>
    <row r="28">
      <c r="A28" s="2" t="inlineStr">
        <is>
          <t>Trial Type</t>
        </is>
      </c>
      <c r="B28" s="16" t="inlineStr">
        <is>
          <t>Baseline</t>
        </is>
      </c>
      <c r="C28" s="4" t="inlineStr">
        <is>
          <t>Resp per Min</t>
        </is>
      </c>
      <c r="F28" t="inlineStr">
        <is>
          <t>Barrel Roll</t>
        </is>
      </c>
      <c r="G28" s="10" t="e">
        <v>#N/A</v>
      </c>
      <c r="H28" t="inlineStr">
        <is>
          <t>Flame Change</t>
        </is>
      </c>
      <c r="I28" s="10" t="e">
        <v>#N/A</v>
      </c>
    </row>
    <row r="29">
      <c r="A29" s="2" t="inlineStr">
        <is>
          <t>Session</t>
        </is>
      </c>
      <c r="B29" s="16">
        <f>B22+1</f>
        <v/>
      </c>
      <c r="C29" s="1">
        <f>B30</f>
        <v/>
      </c>
      <c r="E29" s="11" t="inlineStr">
        <is>
          <t>IOA</t>
        </is>
      </c>
      <c r="F29" s="12" t="inlineStr">
        <is>
          <t>Spins</t>
        </is>
      </c>
      <c r="G29" s="10" t="e">
        <v>#N/A</v>
      </c>
      <c r="H29" s="12" t="inlineStr">
        <is>
          <t>Red token</t>
        </is>
      </c>
      <c r="I29" s="10" t="e">
        <v>#N/A</v>
      </c>
    </row>
    <row r="30">
      <c r="A30" s="2" t="inlineStr">
        <is>
          <t>Target Resp</t>
        </is>
      </c>
      <c r="B30" s="8" t="e">
        <v>#N/A</v>
      </c>
      <c r="E30" s="11" t="inlineStr">
        <is>
          <t>Y/E</t>
        </is>
      </c>
      <c r="F30" s="12" t="inlineStr">
        <is>
          <t>Speed Boosts</t>
        </is>
      </c>
      <c r="G30" s="10" t="e">
        <v>#N/A</v>
      </c>
      <c r="H30" s="12" t="inlineStr">
        <is>
          <t>Blue Token</t>
        </is>
      </c>
      <c r="I30" s="10" t="e">
        <v>#N/A</v>
      </c>
    </row>
    <row r="31">
      <c r="A31" s="2" t="inlineStr">
        <is>
          <t>Alt resp</t>
        </is>
      </c>
      <c r="B31" s="8" t="e">
        <v>#N/A</v>
      </c>
      <c r="C31" s="1">
        <f>B31</f>
        <v/>
      </c>
      <c r="E31" s="11" t="inlineStr">
        <is>
          <t>Y/E</t>
        </is>
      </c>
      <c r="F31" s="12" t="inlineStr">
        <is>
          <t>Coin Boost</t>
        </is>
      </c>
      <c r="G31" s="10" t="e">
        <v>#N/A</v>
      </c>
      <c r="H31" s="12" t="inlineStr">
        <is>
          <t>Yellow Token</t>
        </is>
      </c>
      <c r="I31" s="10" t="e">
        <v>#N/A</v>
      </c>
    </row>
    <row r="32">
      <c r="A32" s="2" t="inlineStr">
        <is>
          <t>Asteroids</t>
        </is>
      </c>
      <c r="B32" s="8" t="e">
        <v>#N/A</v>
      </c>
      <c r="C32" s="4" t="inlineStr">
        <is>
          <t>Reinf per Min</t>
        </is>
      </c>
      <c r="E32" s="11" t="inlineStr">
        <is>
          <t>Y/E</t>
        </is>
      </c>
      <c r="F32" s="12" t="n"/>
      <c r="G32" s="12" t="n"/>
      <c r="H32" s="12" t="inlineStr">
        <is>
          <t>Crash</t>
        </is>
      </c>
      <c r="I32" s="10" t="e">
        <v>#N/A</v>
      </c>
    </row>
    <row r="33">
      <c r="A33" s="2" t="inlineStr">
        <is>
          <t>Total Points:</t>
        </is>
      </c>
      <c r="B33" s="8" t="e">
        <v>#N/A</v>
      </c>
      <c r="C33" s="1">
        <f>(((B33-B25)/5))</f>
        <v/>
      </c>
      <c r="D33">
        <f>B33/5</f>
        <v/>
      </c>
      <c r="E33" s="11" t="inlineStr">
        <is>
          <t>Y/E</t>
        </is>
      </c>
      <c r="F33" s="12" t="n"/>
      <c r="G33" s="12" t="n"/>
      <c r="H33" s="12" t="n"/>
      <c r="I33" s="12" t="n"/>
    </row>
    <row r="34">
      <c r="A34" s="16" t="n"/>
      <c r="B34" s="16" t="n"/>
      <c r="C34" s="16" t="n"/>
    </row>
    <row r="35">
      <c r="A35" s="2" t="inlineStr">
        <is>
          <t>Phase</t>
        </is>
      </c>
      <c r="B35" s="16" t="inlineStr">
        <is>
          <t>Treatment</t>
        </is>
      </c>
      <c r="C35" s="3" t="n"/>
      <c r="F35" s="12" t="inlineStr">
        <is>
          <t>Power Ups</t>
        </is>
      </c>
      <c r="G35" s="12" t="inlineStr">
        <is>
          <t>Freq</t>
        </is>
      </c>
      <c r="H35" s="12" t="inlineStr">
        <is>
          <t>Power Ups</t>
        </is>
      </c>
      <c r="I35" s="12" t="inlineStr">
        <is>
          <t>Freq</t>
        </is>
      </c>
    </row>
    <row r="36">
      <c r="A36" s="2" t="inlineStr">
        <is>
          <t>Trial Type</t>
        </is>
      </c>
      <c r="B36" s="16" t="inlineStr">
        <is>
          <t>Treatment</t>
        </is>
      </c>
      <c r="C36" s="4" t="inlineStr">
        <is>
          <t>Resp per Min</t>
        </is>
      </c>
      <c r="F36" t="inlineStr">
        <is>
          <t>Barrel Roll</t>
        </is>
      </c>
      <c r="G36" s="10" t="e">
        <v>#N/A</v>
      </c>
      <c r="H36" t="inlineStr">
        <is>
          <t>Flame Change</t>
        </is>
      </c>
      <c r="I36" s="10" t="e">
        <v>#N/A</v>
      </c>
    </row>
    <row r="37">
      <c r="A37" s="2" t="inlineStr">
        <is>
          <t>Session</t>
        </is>
      </c>
      <c r="B37" s="16">
        <f>B29+1</f>
        <v/>
      </c>
      <c r="C37" s="1">
        <f>B38</f>
        <v/>
      </c>
      <c r="E37" s="11" t="inlineStr">
        <is>
          <t>IOA</t>
        </is>
      </c>
      <c r="F37" s="12" t="inlineStr">
        <is>
          <t>Spins</t>
        </is>
      </c>
      <c r="G37" s="10" t="e">
        <v>#N/A</v>
      </c>
      <c r="H37" s="12" t="inlineStr">
        <is>
          <t>Red token</t>
        </is>
      </c>
      <c r="I37" s="10" t="e">
        <v>#N/A</v>
      </c>
    </row>
    <row r="38">
      <c r="A38" s="2" t="inlineStr">
        <is>
          <t>Target Resp</t>
        </is>
      </c>
      <c r="B38" s="8" t="e">
        <v>#N/A</v>
      </c>
      <c r="E38" s="11" t="inlineStr">
        <is>
          <t>Y/E</t>
        </is>
      </c>
      <c r="F38" s="12" t="inlineStr">
        <is>
          <t>Speed Boosts</t>
        </is>
      </c>
      <c r="G38" s="10" t="e">
        <v>#N/A</v>
      </c>
      <c r="H38" s="12" t="inlineStr">
        <is>
          <t>Blue Token</t>
        </is>
      </c>
      <c r="I38" s="10" t="e">
        <v>#N/A</v>
      </c>
    </row>
    <row r="39">
      <c r="A39" s="2" t="inlineStr">
        <is>
          <t>Alt Resp</t>
        </is>
      </c>
      <c r="B39" s="8" t="e">
        <v>#N/A</v>
      </c>
      <c r="C39" s="1">
        <f>B39</f>
        <v/>
      </c>
      <c r="E39" s="11" t="inlineStr">
        <is>
          <t>Y/E</t>
        </is>
      </c>
      <c r="F39" s="12" t="inlineStr">
        <is>
          <t>Coin Boost</t>
        </is>
      </c>
      <c r="G39" s="10" t="e">
        <v>#N/A</v>
      </c>
      <c r="H39" s="12" t="inlineStr">
        <is>
          <t>Yellow Token</t>
        </is>
      </c>
      <c r="I39" s="10" t="e">
        <v>#N/A</v>
      </c>
    </row>
    <row r="40">
      <c r="A40" s="2" t="inlineStr">
        <is>
          <t>Asteroids</t>
        </is>
      </c>
      <c r="B40" s="8" t="e">
        <v>#N/A</v>
      </c>
      <c r="C40" s="4" t="inlineStr">
        <is>
          <t>Reinf per Min</t>
        </is>
      </c>
      <c r="E40" s="11" t="inlineStr">
        <is>
          <t>Y/E</t>
        </is>
      </c>
      <c r="F40" s="12" t="n"/>
      <c r="G40" s="12" t="n"/>
      <c r="H40" s="12" t="inlineStr">
        <is>
          <t>Crash</t>
        </is>
      </c>
      <c r="I40" s="10" t="e">
        <v>#N/A</v>
      </c>
    </row>
    <row r="41">
      <c r="A41" s="2" t="inlineStr">
        <is>
          <t>Total Points:</t>
        </is>
      </c>
      <c r="B41" s="8" t="e">
        <v>#N/A</v>
      </c>
      <c r="C41" s="1">
        <f>(((B41-B33)/5))</f>
        <v/>
      </c>
      <c r="D41">
        <f>B41/5</f>
        <v/>
      </c>
      <c r="E41" s="11" t="inlineStr">
        <is>
          <t>Y/E</t>
        </is>
      </c>
      <c r="F41" s="12" t="n"/>
      <c r="G41" s="12" t="n"/>
      <c r="H41" s="12" t="n"/>
      <c r="I41" s="12" t="n"/>
    </row>
    <row r="42">
      <c r="A42" s="16" t="n"/>
      <c r="B42" s="16" t="n"/>
      <c r="C42" s="16" t="n"/>
    </row>
    <row r="43">
      <c r="A43" s="16" t="n"/>
      <c r="B43" s="16" t="n"/>
      <c r="C43" s="16" t="n"/>
    </row>
    <row r="44">
      <c r="A44" s="2" t="inlineStr">
        <is>
          <t>Phase</t>
        </is>
      </c>
      <c r="B44" s="16" t="inlineStr">
        <is>
          <t>Treatment</t>
        </is>
      </c>
      <c r="C44" s="4" t="inlineStr">
        <is>
          <t>Responses/Reinf Per Min</t>
        </is>
      </c>
      <c r="F44" s="12" t="inlineStr">
        <is>
          <t>Power Ups</t>
        </is>
      </c>
      <c r="G44" s="12" t="inlineStr">
        <is>
          <t>Freq</t>
        </is>
      </c>
      <c r="H44" s="12" t="inlineStr">
        <is>
          <t>Power Ups</t>
        </is>
      </c>
      <c r="I44" s="12" t="inlineStr">
        <is>
          <t>Freq</t>
        </is>
      </c>
    </row>
    <row r="45">
      <c r="A45" s="2" t="inlineStr">
        <is>
          <t>Trial Type</t>
        </is>
      </c>
      <c r="B45" s="16" t="inlineStr">
        <is>
          <t>Treatment</t>
        </is>
      </c>
      <c r="C45" s="3" t="n"/>
      <c r="F45" t="inlineStr">
        <is>
          <t>Barrel Roll</t>
        </is>
      </c>
      <c r="G45" s="10" t="e">
        <v>#N/A</v>
      </c>
      <c r="H45" t="inlineStr">
        <is>
          <t>Flame Change</t>
        </is>
      </c>
      <c r="I45" s="10" t="e">
        <v>#N/A</v>
      </c>
    </row>
    <row r="46">
      <c r="A46" s="2" t="inlineStr">
        <is>
          <t>Session</t>
        </is>
      </c>
      <c r="B46" s="16">
        <f>B37+1</f>
        <v/>
      </c>
      <c r="C46" s="5" t="n"/>
      <c r="E46" s="11" t="inlineStr">
        <is>
          <t>IOA</t>
        </is>
      </c>
      <c r="F46" s="12" t="inlineStr">
        <is>
          <t>Spins</t>
        </is>
      </c>
      <c r="G46" s="10" t="e">
        <v>#N/A</v>
      </c>
      <c r="H46" s="12" t="inlineStr">
        <is>
          <t>Red token</t>
        </is>
      </c>
      <c r="I46" s="10" t="e">
        <v>#N/A</v>
      </c>
    </row>
    <row r="47">
      <c r="A47" s="2" t="inlineStr">
        <is>
          <t>Target Resp</t>
        </is>
      </c>
      <c r="B47" s="8" t="e">
        <v>#N/A</v>
      </c>
      <c r="C47" s="1">
        <f>B47</f>
        <v/>
      </c>
      <c r="E47" s="11" t="inlineStr">
        <is>
          <t>Y/E</t>
        </is>
      </c>
      <c r="F47" s="12" t="inlineStr">
        <is>
          <t>Speed Boosts</t>
        </is>
      </c>
      <c r="G47" s="10" t="e">
        <v>#N/A</v>
      </c>
      <c r="H47" s="12" t="inlineStr">
        <is>
          <t>Blue Token</t>
        </is>
      </c>
      <c r="I47" s="10" t="e">
        <v>#N/A</v>
      </c>
    </row>
    <row r="48">
      <c r="A48" s="2" t="inlineStr">
        <is>
          <t>Alternative Resp</t>
        </is>
      </c>
      <c r="B48" s="8" t="e">
        <v>#N/A</v>
      </c>
      <c r="C48" s="1">
        <f>B48</f>
        <v/>
      </c>
      <c r="E48" s="11" t="inlineStr">
        <is>
          <t>Y/E</t>
        </is>
      </c>
      <c r="F48" s="12" t="inlineStr">
        <is>
          <t>Coin Boost</t>
        </is>
      </c>
      <c r="G48" s="10" t="e">
        <v>#N/A</v>
      </c>
      <c r="H48" s="12" t="inlineStr">
        <is>
          <t>Yellow Token</t>
        </is>
      </c>
      <c r="I48" s="10" t="e">
        <v>#N/A</v>
      </c>
    </row>
    <row r="49">
      <c r="A49" s="2" t="inlineStr">
        <is>
          <t>Asteroids</t>
        </is>
      </c>
      <c r="B49" s="8" t="e">
        <v>#N/A</v>
      </c>
      <c r="C49" s="1" t="n"/>
      <c r="E49" s="11" t="inlineStr">
        <is>
          <t>Y/E</t>
        </is>
      </c>
      <c r="F49" s="12" t="n"/>
      <c r="G49" s="12" t="n"/>
      <c r="H49" s="12" t="inlineStr">
        <is>
          <t>Crash</t>
        </is>
      </c>
      <c r="I49" s="10" t="e">
        <v>#N/A</v>
      </c>
    </row>
    <row r="50">
      <c r="A50" s="2" t="inlineStr">
        <is>
          <t>Total Points:</t>
        </is>
      </c>
      <c r="B50" s="8" t="e">
        <v>#N/A</v>
      </c>
      <c r="C50" s="1">
        <f>(((B50-B42)/5))</f>
        <v/>
      </c>
      <c r="D50">
        <f>B50/5</f>
        <v/>
      </c>
      <c r="E50" s="11" t="inlineStr">
        <is>
          <t>Y/E</t>
        </is>
      </c>
      <c r="F50" s="12" t="n"/>
      <c r="G50" s="12" t="n"/>
      <c r="H50" s="12" t="n"/>
      <c r="I50" s="12" t="n"/>
    </row>
    <row r="52">
      <c r="A52" s="2" t="inlineStr">
        <is>
          <t>Phase</t>
        </is>
      </c>
      <c r="B52" s="16" t="inlineStr">
        <is>
          <t>Treatment</t>
        </is>
      </c>
      <c r="C52" s="4" t="inlineStr">
        <is>
          <t>Responses/Reinf Per Min</t>
        </is>
      </c>
      <c r="F52" s="12" t="inlineStr">
        <is>
          <t>Power Ups</t>
        </is>
      </c>
      <c r="G52" s="12" t="inlineStr">
        <is>
          <t>Freq</t>
        </is>
      </c>
      <c r="H52" s="12" t="inlineStr">
        <is>
          <t>Power Ups</t>
        </is>
      </c>
      <c r="I52" s="12" t="inlineStr">
        <is>
          <t>Freq</t>
        </is>
      </c>
    </row>
    <row r="53">
      <c r="A53" s="2" t="inlineStr">
        <is>
          <t>Trial Type</t>
        </is>
      </c>
      <c r="B53" s="16" t="inlineStr">
        <is>
          <t>Treatment</t>
        </is>
      </c>
      <c r="C53" s="3" t="n"/>
      <c r="F53" t="inlineStr">
        <is>
          <t>Barrel Roll</t>
        </is>
      </c>
      <c r="G53" s="10" t="e">
        <v>#N/A</v>
      </c>
      <c r="H53" t="inlineStr">
        <is>
          <t>Flame Change</t>
        </is>
      </c>
      <c r="I53" s="10" t="e">
        <v>#N/A</v>
      </c>
    </row>
    <row r="54">
      <c r="A54" s="2" t="inlineStr">
        <is>
          <t>Session</t>
        </is>
      </c>
      <c r="B54" s="16">
        <f>B46+1</f>
        <v/>
      </c>
      <c r="C54" s="5" t="n"/>
      <c r="E54" s="11" t="inlineStr">
        <is>
          <t>IOA</t>
        </is>
      </c>
      <c r="F54" s="12" t="inlineStr">
        <is>
          <t>Spins</t>
        </is>
      </c>
      <c r="G54" s="10" t="e">
        <v>#N/A</v>
      </c>
      <c r="H54" s="12" t="inlineStr">
        <is>
          <t>Red token</t>
        </is>
      </c>
      <c r="I54" s="10" t="e">
        <v>#N/A</v>
      </c>
    </row>
    <row r="55">
      <c r="A55" s="2" t="inlineStr">
        <is>
          <t>Target Resp</t>
        </is>
      </c>
      <c r="B55" s="8" t="e">
        <v>#N/A</v>
      </c>
      <c r="C55" s="1">
        <f>B55</f>
        <v/>
      </c>
      <c r="E55" s="11" t="inlineStr">
        <is>
          <t>Y/E</t>
        </is>
      </c>
      <c r="F55" s="12" t="inlineStr">
        <is>
          <t>Speed Boosts</t>
        </is>
      </c>
      <c r="G55" s="10" t="e">
        <v>#N/A</v>
      </c>
      <c r="H55" s="12" t="inlineStr">
        <is>
          <t>Blue Token</t>
        </is>
      </c>
      <c r="I55" s="10" t="e">
        <v>#N/A</v>
      </c>
    </row>
    <row r="56">
      <c r="A56" s="2" t="inlineStr">
        <is>
          <t>Alternative Resp</t>
        </is>
      </c>
      <c r="B56" s="8" t="e">
        <v>#N/A</v>
      </c>
      <c r="C56" s="1">
        <f>B56</f>
        <v/>
      </c>
      <c r="E56" s="11" t="inlineStr">
        <is>
          <t>Y/E</t>
        </is>
      </c>
      <c r="F56" s="12" t="inlineStr">
        <is>
          <t>Coin Boost</t>
        </is>
      </c>
      <c r="G56" s="10" t="e">
        <v>#N/A</v>
      </c>
      <c r="H56" s="12" t="inlineStr">
        <is>
          <t>Yellow Token</t>
        </is>
      </c>
      <c r="I56" s="10" t="e">
        <v>#N/A</v>
      </c>
    </row>
    <row r="57">
      <c r="A57" s="2" t="inlineStr">
        <is>
          <t>Asteroids</t>
        </is>
      </c>
      <c r="B57" s="8" t="e">
        <v>#N/A</v>
      </c>
      <c r="C57" s="1" t="n"/>
      <c r="E57" s="11" t="inlineStr">
        <is>
          <t>Y/E</t>
        </is>
      </c>
      <c r="F57" s="12" t="n"/>
      <c r="G57" s="12" t="n"/>
      <c r="H57" s="12" t="inlineStr">
        <is>
          <t>Crash</t>
        </is>
      </c>
      <c r="I57" s="10" t="e">
        <v>#N/A</v>
      </c>
    </row>
    <row r="58">
      <c r="A58" s="2" t="inlineStr">
        <is>
          <t>Total Points:</t>
        </is>
      </c>
      <c r="B58" s="8" t="e">
        <v>#N/A</v>
      </c>
      <c r="C58" s="1">
        <f>(((B58-B50)/5))</f>
        <v/>
      </c>
      <c r="E58" s="11" t="inlineStr">
        <is>
          <t>Y/E</t>
        </is>
      </c>
      <c r="F58" s="12" t="n"/>
      <c r="G58" s="12" t="n"/>
      <c r="H58" s="12" t="n"/>
      <c r="I58" s="12" t="n"/>
    </row>
    <row r="60">
      <c r="A60" s="2" t="inlineStr">
        <is>
          <t>Phase</t>
        </is>
      </c>
      <c r="B60" s="16" t="inlineStr">
        <is>
          <t>Extinction</t>
        </is>
      </c>
      <c r="C60" s="4" t="inlineStr">
        <is>
          <t>Responses/Reinf Per Min</t>
        </is>
      </c>
      <c r="F60" s="12" t="inlineStr">
        <is>
          <t>Power Ups</t>
        </is>
      </c>
      <c r="G60" s="12" t="inlineStr">
        <is>
          <t>Freq</t>
        </is>
      </c>
      <c r="H60" s="12" t="inlineStr">
        <is>
          <t>Power Ups</t>
        </is>
      </c>
      <c r="I60" s="12" t="inlineStr">
        <is>
          <t>Freq</t>
        </is>
      </c>
    </row>
    <row r="61">
      <c r="A61" s="2" t="inlineStr">
        <is>
          <t>Trial Type</t>
        </is>
      </c>
      <c r="B61" s="16" t="inlineStr">
        <is>
          <t>Treatment</t>
        </is>
      </c>
      <c r="C61" s="3" t="n"/>
      <c r="F61" t="inlineStr">
        <is>
          <t>Barrel Roll</t>
        </is>
      </c>
      <c r="G61" s="10" t="e">
        <v>#N/A</v>
      </c>
      <c r="H61" t="inlineStr">
        <is>
          <t>Flame Change</t>
        </is>
      </c>
      <c r="I61" s="10" t="e">
        <v>#N/A</v>
      </c>
    </row>
    <row r="62">
      <c r="A62" s="2" t="inlineStr">
        <is>
          <t>Session</t>
        </is>
      </c>
      <c r="B62" s="16">
        <f>B54+1</f>
        <v/>
      </c>
      <c r="C62" s="5" t="n"/>
      <c r="E62" s="11" t="inlineStr">
        <is>
          <t>IOA</t>
        </is>
      </c>
      <c r="F62" s="12" t="inlineStr">
        <is>
          <t>Spins</t>
        </is>
      </c>
      <c r="G62" s="10" t="e">
        <v>#N/A</v>
      </c>
      <c r="H62" s="12" t="inlineStr">
        <is>
          <t>Red token</t>
        </is>
      </c>
      <c r="I62" s="10" t="e">
        <v>#N/A</v>
      </c>
    </row>
    <row r="63">
      <c r="A63" s="2" t="inlineStr">
        <is>
          <t>Target Resp</t>
        </is>
      </c>
      <c r="B63" s="8" t="e">
        <v>#N/A</v>
      </c>
      <c r="C63" s="1">
        <f>B63</f>
        <v/>
      </c>
      <c r="E63" s="11" t="inlineStr">
        <is>
          <t>Y/E</t>
        </is>
      </c>
      <c r="F63" s="12" t="inlineStr">
        <is>
          <t>Speed Boosts</t>
        </is>
      </c>
      <c r="G63" s="10" t="e">
        <v>#N/A</v>
      </c>
      <c r="H63" s="12" t="inlineStr">
        <is>
          <t>Blue Token</t>
        </is>
      </c>
      <c r="I63" s="10" t="e">
        <v>#N/A</v>
      </c>
    </row>
    <row r="64">
      <c r="A64" s="2" t="inlineStr">
        <is>
          <t>Alternative Resp</t>
        </is>
      </c>
      <c r="B64" s="8" t="e">
        <v>#N/A</v>
      </c>
      <c r="C64" s="1">
        <f>B64</f>
        <v/>
      </c>
      <c r="E64" s="11" t="inlineStr">
        <is>
          <t>Y/E</t>
        </is>
      </c>
      <c r="F64" s="12" t="inlineStr">
        <is>
          <t>Coin Boost</t>
        </is>
      </c>
      <c r="G64" s="10" t="e">
        <v>#N/A</v>
      </c>
      <c r="H64" s="12" t="inlineStr">
        <is>
          <t>Yellow Token</t>
        </is>
      </c>
      <c r="I64" s="10" t="e">
        <v>#N/A</v>
      </c>
    </row>
    <row r="65">
      <c r="A65" s="2" t="inlineStr">
        <is>
          <t>Asteroids</t>
        </is>
      </c>
      <c r="B65" s="8" t="e">
        <v>#N/A</v>
      </c>
      <c r="C65" s="1" t="n"/>
      <c r="E65" s="11" t="inlineStr">
        <is>
          <t>Y/E</t>
        </is>
      </c>
      <c r="F65" s="12" t="n"/>
      <c r="G65" s="12" t="n"/>
      <c r="H65" s="12" t="inlineStr">
        <is>
          <t>Crash</t>
        </is>
      </c>
      <c r="I65" s="10" t="e">
        <v>#N/A</v>
      </c>
    </row>
    <row r="66">
      <c r="A66" s="2" t="inlineStr">
        <is>
          <t>Total Points:</t>
        </is>
      </c>
      <c r="B66" s="8" t="e">
        <v>#N/A</v>
      </c>
      <c r="C66" s="1" t="n">
        <v>0</v>
      </c>
      <c r="E66" s="11" t="inlineStr">
        <is>
          <t>Y/E</t>
        </is>
      </c>
      <c r="F66" s="12" t="n"/>
      <c r="G66" s="12" t="n"/>
      <c r="H66" s="12" t="n"/>
      <c r="I66" s="12" t="n"/>
    </row>
    <row r="68">
      <c r="A68" s="2" t="inlineStr">
        <is>
          <t>Phase</t>
        </is>
      </c>
      <c r="B68" s="16" t="inlineStr">
        <is>
          <t>Extinction</t>
        </is>
      </c>
      <c r="C68" s="4" t="inlineStr">
        <is>
          <t>Responses/Reinf Per Min</t>
        </is>
      </c>
      <c r="F68" s="12" t="inlineStr">
        <is>
          <t>Power Ups</t>
        </is>
      </c>
      <c r="G68" s="12" t="inlineStr">
        <is>
          <t>Freq</t>
        </is>
      </c>
      <c r="H68" s="12" t="inlineStr">
        <is>
          <t>Power Ups</t>
        </is>
      </c>
      <c r="I68" s="12" t="inlineStr">
        <is>
          <t>Freq</t>
        </is>
      </c>
    </row>
    <row r="69">
      <c r="A69" s="2" t="inlineStr">
        <is>
          <t>Trial Type</t>
        </is>
      </c>
      <c r="B69" s="16" t="inlineStr">
        <is>
          <t>Treatment</t>
        </is>
      </c>
      <c r="C69" s="3" t="n"/>
      <c r="F69" t="inlineStr">
        <is>
          <t>Barrel Roll</t>
        </is>
      </c>
      <c r="G69" s="10" t="e">
        <v>#N/A</v>
      </c>
      <c r="H69" t="inlineStr">
        <is>
          <t>Flame Change</t>
        </is>
      </c>
      <c r="I69" s="10" t="e">
        <v>#N/A</v>
      </c>
    </row>
    <row r="70">
      <c r="A70" s="2" t="inlineStr">
        <is>
          <t>Session</t>
        </is>
      </c>
      <c r="B70" s="16">
        <f>B62+1</f>
        <v/>
      </c>
      <c r="C70" s="5" t="n"/>
      <c r="E70" s="11" t="inlineStr">
        <is>
          <t>IOA</t>
        </is>
      </c>
      <c r="F70" s="12" t="inlineStr">
        <is>
          <t>Spins</t>
        </is>
      </c>
      <c r="G70" s="10" t="e">
        <v>#N/A</v>
      </c>
      <c r="H70" s="12" t="inlineStr">
        <is>
          <t>Red token</t>
        </is>
      </c>
      <c r="I70" s="10" t="e">
        <v>#N/A</v>
      </c>
    </row>
    <row r="71">
      <c r="A71" s="2" t="inlineStr">
        <is>
          <t>Target Resp</t>
        </is>
      </c>
      <c r="B71" s="8" t="e">
        <v>#N/A</v>
      </c>
      <c r="C71" s="1">
        <f>B71</f>
        <v/>
      </c>
      <c r="E71" s="11" t="inlineStr">
        <is>
          <t>Y/E</t>
        </is>
      </c>
      <c r="F71" s="12" t="inlineStr">
        <is>
          <t>Speed Boosts</t>
        </is>
      </c>
      <c r="G71" s="10" t="e">
        <v>#N/A</v>
      </c>
      <c r="H71" s="12" t="inlineStr">
        <is>
          <t>Blue Token</t>
        </is>
      </c>
      <c r="I71" s="10" t="e">
        <v>#N/A</v>
      </c>
    </row>
    <row r="72">
      <c r="A72" s="2" t="inlineStr">
        <is>
          <t>Alternative Resp</t>
        </is>
      </c>
      <c r="B72" s="8" t="e">
        <v>#N/A</v>
      </c>
      <c r="C72" s="1">
        <f>B72</f>
        <v/>
      </c>
      <c r="E72" s="11" t="inlineStr">
        <is>
          <t>Y/E</t>
        </is>
      </c>
      <c r="F72" s="12" t="inlineStr">
        <is>
          <t>Coin Boost</t>
        </is>
      </c>
      <c r="G72" s="10" t="e">
        <v>#N/A</v>
      </c>
      <c r="H72" s="12" t="inlineStr">
        <is>
          <t>Yellow Token</t>
        </is>
      </c>
      <c r="I72" s="10" t="e">
        <v>#N/A</v>
      </c>
    </row>
    <row r="73">
      <c r="A73" s="2" t="inlineStr">
        <is>
          <t>Asteroids</t>
        </is>
      </c>
      <c r="B73" s="8" t="e">
        <v>#N/A</v>
      </c>
      <c r="C73" s="1" t="n"/>
      <c r="E73" s="11" t="inlineStr">
        <is>
          <t>Y/E</t>
        </is>
      </c>
      <c r="F73" s="12" t="n"/>
      <c r="G73" s="12" t="n"/>
      <c r="H73" s="12" t="inlineStr">
        <is>
          <t>Crash</t>
        </is>
      </c>
      <c r="I73" s="10" t="e">
        <v>#N/A</v>
      </c>
    </row>
    <row r="74">
      <c r="A74" s="2" t="inlineStr">
        <is>
          <t>Total Points:</t>
        </is>
      </c>
      <c r="B74" s="8" t="e">
        <v>#N/A</v>
      </c>
      <c r="C74" s="1" t="n">
        <v>0</v>
      </c>
      <c r="E74" s="11" t="inlineStr">
        <is>
          <t>Y/E</t>
        </is>
      </c>
      <c r="F74" s="12" t="n"/>
      <c r="G74" s="12" t="n"/>
      <c r="H74" s="12" t="n"/>
      <c r="I74" s="12" t="n"/>
    </row>
    <row r="76">
      <c r="A76" s="2" t="inlineStr">
        <is>
          <t>Phase</t>
        </is>
      </c>
      <c r="B76" s="16" t="inlineStr">
        <is>
          <t>Extinction</t>
        </is>
      </c>
      <c r="C76" s="4" t="inlineStr">
        <is>
          <t>Responses/Reinf Per Min</t>
        </is>
      </c>
      <c r="F76" s="12" t="inlineStr">
        <is>
          <t>Power Ups</t>
        </is>
      </c>
      <c r="G76" s="12" t="inlineStr">
        <is>
          <t>Freq</t>
        </is>
      </c>
      <c r="H76" s="12" t="inlineStr">
        <is>
          <t>Power Ups</t>
        </is>
      </c>
      <c r="I76" s="12" t="inlineStr">
        <is>
          <t>Freq</t>
        </is>
      </c>
    </row>
    <row r="77">
      <c r="A77" s="2" t="inlineStr">
        <is>
          <t>Trial Type</t>
        </is>
      </c>
      <c r="B77" s="16" t="inlineStr">
        <is>
          <t>Treatment</t>
        </is>
      </c>
      <c r="C77" s="3" t="n"/>
      <c r="F77" t="inlineStr">
        <is>
          <t>Barrel Roll</t>
        </is>
      </c>
      <c r="G77" s="10" t="e">
        <v>#N/A</v>
      </c>
      <c r="H77" t="inlineStr">
        <is>
          <t>Flame Change</t>
        </is>
      </c>
      <c r="I77" s="10" t="e">
        <v>#N/A</v>
      </c>
    </row>
    <row r="78">
      <c r="A78" s="2" t="inlineStr">
        <is>
          <t>Session</t>
        </is>
      </c>
      <c r="B78" s="16">
        <f>B70+1</f>
        <v/>
      </c>
      <c r="C78" s="5" t="n"/>
      <c r="E78" s="11" t="inlineStr">
        <is>
          <t>IOA</t>
        </is>
      </c>
      <c r="F78" s="12" t="inlineStr">
        <is>
          <t>Spins</t>
        </is>
      </c>
      <c r="G78" s="10" t="e">
        <v>#N/A</v>
      </c>
      <c r="H78" s="12" t="inlineStr">
        <is>
          <t>Red token</t>
        </is>
      </c>
      <c r="I78" s="10" t="e">
        <v>#N/A</v>
      </c>
    </row>
    <row r="79">
      <c r="A79" s="2" t="inlineStr">
        <is>
          <t>Target Resp</t>
        </is>
      </c>
      <c r="B79" s="8" t="e">
        <v>#N/A</v>
      </c>
      <c r="C79" s="1">
        <f>B79</f>
        <v/>
      </c>
      <c r="E79" s="11" t="inlineStr">
        <is>
          <t>Y/E</t>
        </is>
      </c>
      <c r="F79" s="12" t="inlineStr">
        <is>
          <t>Speed Boosts</t>
        </is>
      </c>
      <c r="G79" s="10" t="e">
        <v>#N/A</v>
      </c>
      <c r="H79" s="12" t="inlineStr">
        <is>
          <t>Blue Token</t>
        </is>
      </c>
      <c r="I79" s="10" t="e">
        <v>#N/A</v>
      </c>
    </row>
    <row r="80">
      <c r="A80" s="2" t="inlineStr">
        <is>
          <t>Alternative Resp</t>
        </is>
      </c>
      <c r="B80" s="8" t="e">
        <v>#N/A</v>
      </c>
      <c r="C80" s="1">
        <f>B80</f>
        <v/>
      </c>
      <c r="E80" s="11" t="inlineStr">
        <is>
          <t>Y/E</t>
        </is>
      </c>
      <c r="F80" s="12" t="inlineStr">
        <is>
          <t>Coin Boost</t>
        </is>
      </c>
      <c r="G80" s="10" t="e">
        <v>#N/A</v>
      </c>
      <c r="H80" s="12" t="inlineStr">
        <is>
          <t>Yellow Token</t>
        </is>
      </c>
      <c r="I80" s="10" t="e">
        <v>#N/A</v>
      </c>
    </row>
    <row r="81">
      <c r="A81" s="2" t="inlineStr">
        <is>
          <t>Asteroids</t>
        </is>
      </c>
      <c r="B81" s="8" t="e">
        <v>#N/A</v>
      </c>
      <c r="C81" s="1" t="n"/>
      <c r="E81" s="11" t="inlineStr">
        <is>
          <t>Y/E</t>
        </is>
      </c>
      <c r="F81" s="12" t="n"/>
      <c r="G81" s="12" t="n"/>
      <c r="H81" s="12" t="inlineStr">
        <is>
          <t>Crash</t>
        </is>
      </c>
      <c r="I81" s="10" t="e">
        <v>#N/A</v>
      </c>
    </row>
    <row r="82">
      <c r="A82" s="2" t="inlineStr">
        <is>
          <t>Total Points:</t>
        </is>
      </c>
      <c r="B82" s="8" t="e">
        <v>#N/A</v>
      </c>
      <c r="C82" s="1" t="n">
        <v>0</v>
      </c>
      <c r="E82" s="11" t="inlineStr">
        <is>
          <t>Y/E</t>
        </is>
      </c>
      <c r="F82" s="12" t="n"/>
      <c r="G82" s="12" t="n"/>
      <c r="H82" s="12" t="n"/>
      <c r="I82" s="12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</row>
    <row r="84">
      <c r="A84" s="5" t="inlineStr">
        <is>
          <t>Phase</t>
        </is>
      </c>
      <c r="B84" s="5" t="inlineStr">
        <is>
          <t>Extinction</t>
        </is>
      </c>
      <c r="C84" s="3" t="inlineStr">
        <is>
          <t>Responses/Reinf Per Min</t>
        </is>
      </c>
      <c r="D84" s="6" t="n"/>
      <c r="E84" s="6" t="n"/>
      <c r="F84" s="13" t="inlineStr">
        <is>
          <t>Power Ups</t>
        </is>
      </c>
      <c r="G84" s="13" t="inlineStr">
        <is>
          <t>Freq</t>
        </is>
      </c>
      <c r="H84" s="13" t="inlineStr">
        <is>
          <t>Power Ups</t>
        </is>
      </c>
      <c r="I84" s="13" t="inlineStr">
        <is>
          <t>Freq</t>
        </is>
      </c>
    </row>
    <row r="85">
      <c r="A85" s="5" t="inlineStr">
        <is>
          <t>Trial Type</t>
        </is>
      </c>
      <c r="B85" s="5" t="inlineStr">
        <is>
          <t>Treatment</t>
        </is>
      </c>
      <c r="C85" s="3" t="n"/>
      <c r="D85" s="6" t="n"/>
      <c r="E85" s="6" t="n"/>
      <c r="F85" s="6" t="inlineStr">
        <is>
          <t>Barrel Roll</t>
        </is>
      </c>
      <c r="G85" s="6" t="e">
        <v>#N/A</v>
      </c>
      <c r="H85" s="6" t="inlineStr">
        <is>
          <t>Flame Change</t>
        </is>
      </c>
      <c r="I85" s="6" t="e">
        <v>#N/A</v>
      </c>
    </row>
    <row r="86">
      <c r="A86" s="5" t="inlineStr">
        <is>
          <t>Session</t>
        </is>
      </c>
      <c r="B86" s="5">
        <f>B78+1</f>
        <v/>
      </c>
      <c r="C86" s="5" t="n"/>
      <c r="D86" s="6" t="n"/>
      <c r="E86" s="7" t="inlineStr">
        <is>
          <t>IOA</t>
        </is>
      </c>
      <c r="F86" s="13" t="inlineStr">
        <is>
          <t>Spins</t>
        </is>
      </c>
      <c r="G86" s="6" t="e">
        <v>#N/A</v>
      </c>
      <c r="H86" s="13" t="inlineStr">
        <is>
          <t>Red token</t>
        </is>
      </c>
      <c r="I86" s="6" t="e">
        <v>#N/A</v>
      </c>
    </row>
    <row r="87">
      <c r="A87" s="5" t="inlineStr">
        <is>
          <t>Target Resp</t>
        </is>
      </c>
      <c r="B87" s="5" t="e">
        <v>#N/A</v>
      </c>
      <c r="C87" s="5">
        <f>B87</f>
        <v/>
      </c>
      <c r="D87" s="6" t="n"/>
      <c r="E87" s="7" t="inlineStr">
        <is>
          <t>Y/E</t>
        </is>
      </c>
      <c r="F87" s="13" t="inlineStr">
        <is>
          <t>Speed Boosts</t>
        </is>
      </c>
      <c r="G87" s="6" t="e">
        <v>#N/A</v>
      </c>
      <c r="H87" s="13" t="inlineStr">
        <is>
          <t>Blue Token</t>
        </is>
      </c>
      <c r="I87" s="6" t="e">
        <v>#N/A</v>
      </c>
    </row>
    <row r="88">
      <c r="A88" s="5" t="inlineStr">
        <is>
          <t>Alternative Resp</t>
        </is>
      </c>
      <c r="B88" s="5" t="e">
        <v>#N/A</v>
      </c>
      <c r="C88" s="5">
        <f>B88</f>
        <v/>
      </c>
      <c r="D88" s="6" t="n"/>
      <c r="E88" s="7" t="inlineStr">
        <is>
          <t>Y/E</t>
        </is>
      </c>
      <c r="F88" s="13" t="inlineStr">
        <is>
          <t>Coin Boost</t>
        </is>
      </c>
      <c r="G88" s="6" t="e">
        <v>#N/A</v>
      </c>
      <c r="H88" s="13" t="inlineStr">
        <is>
          <t>Yellow Token</t>
        </is>
      </c>
      <c r="I88" s="6" t="e">
        <v>#N/A</v>
      </c>
    </row>
    <row r="89">
      <c r="A89" s="5" t="inlineStr">
        <is>
          <t>Asteroids</t>
        </is>
      </c>
      <c r="B89" s="5" t="e">
        <v>#N/A</v>
      </c>
      <c r="C89" s="5" t="n"/>
      <c r="D89" s="6" t="n"/>
      <c r="E89" s="7" t="inlineStr">
        <is>
          <t>Y/E</t>
        </is>
      </c>
      <c r="F89" s="13" t="n"/>
      <c r="G89" s="13" t="n"/>
      <c r="H89" s="13" t="inlineStr">
        <is>
          <t>Crash</t>
        </is>
      </c>
      <c r="I89" s="6" t="e">
        <v>#N/A</v>
      </c>
    </row>
    <row r="90">
      <c r="A90" s="5" t="inlineStr">
        <is>
          <t>Total Points:</t>
        </is>
      </c>
      <c r="B90" s="5" t="e">
        <v>#N/A</v>
      </c>
      <c r="C90" s="5" t="n">
        <v>0</v>
      </c>
      <c r="D90" s="6" t="n"/>
      <c r="E90" s="7" t="inlineStr">
        <is>
          <t>Y/E</t>
        </is>
      </c>
      <c r="F90" s="13" t="n"/>
      <c r="G90" s="13" t="n"/>
      <c r="H90" s="13" t="n"/>
      <c r="I90" s="13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</row>
    <row r="92">
      <c r="A92" s="5" t="inlineStr">
        <is>
          <t>Phase</t>
        </is>
      </c>
      <c r="B92" s="5" t="inlineStr">
        <is>
          <t>Extinction</t>
        </is>
      </c>
      <c r="C92" s="3" t="inlineStr">
        <is>
          <t>Responses/Reinf Per Min</t>
        </is>
      </c>
      <c r="D92" s="6" t="n"/>
      <c r="E92" s="6" t="n"/>
      <c r="F92" s="13" t="inlineStr">
        <is>
          <t>Power Ups</t>
        </is>
      </c>
      <c r="G92" s="13" t="inlineStr">
        <is>
          <t>Freq</t>
        </is>
      </c>
      <c r="H92" s="13" t="inlineStr">
        <is>
          <t>Power Ups</t>
        </is>
      </c>
      <c r="I92" s="13" t="inlineStr">
        <is>
          <t>Freq</t>
        </is>
      </c>
    </row>
    <row r="93">
      <c r="A93" s="5" t="inlineStr">
        <is>
          <t>Trial Type</t>
        </is>
      </c>
      <c r="B93" s="5" t="inlineStr">
        <is>
          <t>Treatment</t>
        </is>
      </c>
      <c r="C93" s="3" t="n"/>
      <c r="D93" s="6" t="n"/>
      <c r="E93" s="6" t="n"/>
      <c r="F93" s="6" t="inlineStr">
        <is>
          <t>Barrel Roll</t>
        </is>
      </c>
      <c r="G93" s="6" t="e">
        <v>#N/A</v>
      </c>
      <c r="H93" s="6" t="inlineStr">
        <is>
          <t>Flame Change</t>
        </is>
      </c>
      <c r="I93" s="6" t="e">
        <v>#N/A</v>
      </c>
    </row>
    <row r="94">
      <c r="A94" s="5" t="inlineStr">
        <is>
          <t>Session</t>
        </is>
      </c>
      <c r="B94" s="5">
        <f>B86+1</f>
        <v/>
      </c>
      <c r="C94" s="5" t="n"/>
      <c r="D94" s="6" t="n"/>
      <c r="E94" s="7" t="inlineStr">
        <is>
          <t>IOA</t>
        </is>
      </c>
      <c r="F94" s="13" t="inlineStr">
        <is>
          <t>Spins</t>
        </is>
      </c>
      <c r="G94" s="6" t="e">
        <v>#N/A</v>
      </c>
      <c r="H94" s="13" t="inlineStr">
        <is>
          <t>Red token</t>
        </is>
      </c>
      <c r="I94" s="6" t="e">
        <v>#N/A</v>
      </c>
    </row>
    <row r="95">
      <c r="A95" s="5" t="inlineStr">
        <is>
          <t>Target Resp</t>
        </is>
      </c>
      <c r="B95" s="5" t="e">
        <v>#N/A</v>
      </c>
      <c r="C95" s="5">
        <f>B95</f>
        <v/>
      </c>
      <c r="D95" s="6" t="n"/>
      <c r="E95" s="7" t="inlineStr">
        <is>
          <t>Y/E</t>
        </is>
      </c>
      <c r="F95" s="13" t="inlineStr">
        <is>
          <t>Speed Boosts</t>
        </is>
      </c>
      <c r="G95" s="6" t="e">
        <v>#N/A</v>
      </c>
      <c r="H95" s="13" t="inlineStr">
        <is>
          <t>Blue Token</t>
        </is>
      </c>
      <c r="I95" s="6" t="e">
        <v>#N/A</v>
      </c>
    </row>
    <row r="96">
      <c r="A96" s="5" t="inlineStr">
        <is>
          <t>Alternative Resp</t>
        </is>
      </c>
      <c r="B96" s="5" t="e">
        <v>#N/A</v>
      </c>
      <c r="C96" s="5">
        <f>B96</f>
        <v/>
      </c>
      <c r="D96" s="6" t="n"/>
      <c r="E96" s="7" t="inlineStr">
        <is>
          <t>Y/E</t>
        </is>
      </c>
      <c r="F96" s="13" t="inlineStr">
        <is>
          <t>Coin Boost</t>
        </is>
      </c>
      <c r="G96" s="6" t="e">
        <v>#N/A</v>
      </c>
      <c r="H96" s="13" t="inlineStr">
        <is>
          <t>Yellow Token</t>
        </is>
      </c>
      <c r="I96" s="6" t="e">
        <v>#N/A</v>
      </c>
    </row>
    <row r="97">
      <c r="A97" s="5" t="inlineStr">
        <is>
          <t>Asteroids</t>
        </is>
      </c>
      <c r="B97" s="5" t="e">
        <v>#N/A</v>
      </c>
      <c r="C97" s="5" t="n"/>
      <c r="D97" s="6" t="n"/>
      <c r="E97" s="7" t="inlineStr">
        <is>
          <t>Y/E</t>
        </is>
      </c>
      <c r="F97" s="13" t="n"/>
      <c r="G97" s="13" t="n"/>
      <c r="H97" s="13" t="inlineStr">
        <is>
          <t>Crash</t>
        </is>
      </c>
      <c r="I97" s="6" t="e">
        <v>#N/A</v>
      </c>
    </row>
    <row r="98">
      <c r="A98" s="5" t="inlineStr">
        <is>
          <t>Total Points:</t>
        </is>
      </c>
      <c r="B98" s="5" t="e">
        <v>#N/A</v>
      </c>
      <c r="C98" s="5" t="n">
        <v>0</v>
      </c>
      <c r="D98" s="6" t="n"/>
      <c r="E98" s="7" t="inlineStr">
        <is>
          <t>Y/E</t>
        </is>
      </c>
      <c r="F98" s="13" t="n"/>
      <c r="G98" s="13" t="n"/>
      <c r="H98" s="13" t="n"/>
      <c r="I98" s="13" t="n"/>
    </row>
  </sheetData>
  <mergeCells count="1">
    <mergeCell ref="A1:C5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N76"/>
  <sheetViews>
    <sheetView tabSelected="1" topLeftCell="C1" workbookViewId="0">
      <selection activeCell="O14" sqref="O14"/>
    </sheetView>
  </sheetViews>
  <sheetFormatPr baseColWidth="8" defaultColWidth="8.85546875" defaultRowHeight="15" outlineLevelCol="0"/>
  <cols>
    <col width="8.85546875" customWidth="1" style="16" min="1" max="3"/>
    <col width="8.85546875" customWidth="1" style="20" min="4" max="7"/>
    <col width="6.85546875" bestFit="1" customWidth="1" style="20" min="8" max="8"/>
    <col width="8.85546875" customWidth="1" style="20" min="9" max="10"/>
    <col width="10.140625" bestFit="1" customWidth="1" style="20" min="11" max="11"/>
    <col width="13.28515625" bestFit="1" customWidth="1" style="20" min="12" max="12"/>
    <col width="8.85546875" customWidth="1" style="20" min="13" max="14"/>
    <col width="11.28515625" bestFit="1" customWidth="1" style="20" min="15" max="15"/>
    <col width="5.7109375" bestFit="1" customWidth="1" style="20" min="16" max="16"/>
    <col width="1.7109375" customWidth="1" style="15" min="17" max="17"/>
    <col width="6.28515625" bestFit="1" customWidth="1" style="20" min="18" max="18"/>
    <col width="7.7109375" customWidth="1" style="20" min="19" max="20"/>
    <col width="8.28515625" customWidth="1" style="20" min="21" max="21"/>
    <col width="8.7109375" customWidth="1" style="20" min="22" max="22"/>
    <col width="8.28515625" customWidth="1" style="20" min="23" max="23"/>
    <col width="7.7109375" customWidth="1" style="20" min="24" max="24"/>
    <col width="10.140625" bestFit="1" customWidth="1" style="20" min="25" max="25"/>
    <col width="13.28515625" bestFit="1" customWidth="1" style="20" min="26" max="26"/>
    <col width="8.7109375" bestFit="1" customWidth="1" style="20" min="27" max="27"/>
    <col width="9.28515625" bestFit="1" customWidth="1" style="20" min="28" max="28"/>
    <col width="11.28515625" bestFit="1" customWidth="1" style="20" min="29" max="29"/>
    <col width="11.28515625" customWidth="1" style="20" min="30" max="31"/>
    <col width="5.7109375" customWidth="1" style="20" min="32" max="33"/>
    <col width="2.28515625" customWidth="1" style="6" min="34" max="34"/>
    <col width="1.42578125" customWidth="1" style="6" min="35" max="35"/>
    <col width="8.85546875" customWidth="1" style="20" min="36" max="37"/>
    <col width="8.85546875" customWidth="1" style="20" min="38" max="16384"/>
  </cols>
  <sheetData>
    <row r="2">
      <c r="D2" s="14" t="inlineStr">
        <is>
          <t>Target</t>
        </is>
      </c>
      <c r="E2" s="14" t="inlineStr">
        <is>
          <t>Alt</t>
        </is>
      </c>
      <c r="F2" s="14" t="inlineStr">
        <is>
          <t>Asteroids</t>
        </is>
      </c>
      <c r="G2" s="14" t="inlineStr">
        <is>
          <t>Score</t>
        </is>
      </c>
      <c r="H2" s="14" t="inlineStr">
        <is>
          <t>Barrels</t>
        </is>
      </c>
      <c r="I2" s="14" t="inlineStr">
        <is>
          <t>Spins</t>
        </is>
      </c>
      <c r="J2" s="14" t="inlineStr">
        <is>
          <t>Turbo</t>
        </is>
      </c>
      <c r="K2" s="14" t="inlineStr">
        <is>
          <t>Coin Boost</t>
        </is>
      </c>
      <c r="L2" s="14" t="inlineStr">
        <is>
          <t>Flame Change</t>
        </is>
      </c>
      <c r="M2" s="14" t="inlineStr">
        <is>
          <t>Red Gem</t>
        </is>
      </c>
      <c r="N2" s="14" t="inlineStr">
        <is>
          <t>Blue Gem</t>
        </is>
      </c>
      <c r="O2" s="14" t="inlineStr">
        <is>
          <t>Yellow Gem</t>
        </is>
      </c>
      <c r="P2" s="14" t="inlineStr">
        <is>
          <t>Crash</t>
        </is>
      </c>
      <c r="R2" s="14" t="inlineStr">
        <is>
          <t>Target</t>
        </is>
      </c>
      <c r="S2" s="14" t="inlineStr">
        <is>
          <t>Alt</t>
        </is>
      </c>
      <c r="T2" s="14" t="inlineStr">
        <is>
          <t>Asteroids</t>
        </is>
      </c>
      <c r="U2" s="14" t="inlineStr">
        <is>
          <t>Score</t>
        </is>
      </c>
      <c r="V2" s="14" t="inlineStr">
        <is>
          <t>Barrels</t>
        </is>
      </c>
      <c r="W2" s="14" t="inlineStr">
        <is>
          <t>Spins</t>
        </is>
      </c>
      <c r="X2" s="14" t="inlineStr">
        <is>
          <t>Turbo</t>
        </is>
      </c>
      <c r="Y2" s="14" t="inlineStr">
        <is>
          <t>Coin Boost</t>
        </is>
      </c>
      <c r="Z2" s="14" t="inlineStr">
        <is>
          <t>Flame Change</t>
        </is>
      </c>
      <c r="AA2" s="14" t="inlineStr">
        <is>
          <t>Red Gem</t>
        </is>
      </c>
      <c r="AB2" s="14" t="inlineStr">
        <is>
          <t>Blue Gem</t>
        </is>
      </c>
      <c r="AC2" s="14" t="inlineStr">
        <is>
          <t>Yellow Gem</t>
        </is>
      </c>
      <c r="AD2" s="14" t="inlineStr">
        <is>
          <t>Total Gems</t>
        </is>
      </c>
      <c r="AE2" s="14" t="inlineStr">
        <is>
          <t>Combined PU</t>
        </is>
      </c>
      <c r="AF2" s="14" t="inlineStr">
        <is>
          <t>Crash</t>
        </is>
      </c>
      <c r="AJ2" t="inlineStr">
        <is>
          <t>Phase Lines</t>
        </is>
      </c>
      <c r="AM2" t="inlineStr">
        <is>
          <t>Dotted PL</t>
        </is>
      </c>
    </row>
    <row r="3">
      <c r="A3" s="16" t="inlineStr">
        <is>
          <t>Session</t>
        </is>
      </c>
      <c r="B3" s="16" t="inlineStr">
        <is>
          <t>Duration</t>
        </is>
      </c>
      <c r="C3" s="16" t="inlineStr">
        <is>
          <t>Condition</t>
        </is>
      </c>
      <c r="D3" s="17" t="inlineStr">
        <is>
          <t>Freq</t>
        </is>
      </c>
      <c r="E3" s="16" t="inlineStr">
        <is>
          <t>Freq</t>
        </is>
      </c>
      <c r="F3" s="16" t="inlineStr">
        <is>
          <t>Freq</t>
        </is>
      </c>
      <c r="G3" s="16" t="inlineStr">
        <is>
          <t>Total</t>
        </is>
      </c>
      <c r="H3" s="16" t="inlineStr">
        <is>
          <t>Freq</t>
        </is>
      </c>
      <c r="I3" s="16" t="inlineStr">
        <is>
          <t>Freq</t>
        </is>
      </c>
      <c r="J3" s="16" t="inlineStr">
        <is>
          <t>Freq</t>
        </is>
      </c>
      <c r="K3" s="16" t="inlineStr">
        <is>
          <t>Freq</t>
        </is>
      </c>
      <c r="L3" s="16" t="inlineStr">
        <is>
          <t>Freq</t>
        </is>
      </c>
      <c r="M3" s="16" t="inlineStr">
        <is>
          <t>Freq</t>
        </is>
      </c>
      <c r="N3" s="16" t="inlineStr">
        <is>
          <t>Freq</t>
        </is>
      </c>
      <c r="O3" s="16" t="inlineStr">
        <is>
          <t>Freq</t>
        </is>
      </c>
      <c r="P3" s="16" t="inlineStr">
        <is>
          <t>Freq</t>
        </is>
      </c>
      <c r="R3" s="16" t="inlineStr">
        <is>
          <t>Rate</t>
        </is>
      </c>
      <c r="S3" s="16" t="inlineStr">
        <is>
          <t>Rate</t>
        </is>
      </c>
      <c r="T3" s="16" t="inlineStr">
        <is>
          <t>Rate</t>
        </is>
      </c>
      <c r="U3" s="16" t="inlineStr">
        <is>
          <t>Rate</t>
        </is>
      </c>
      <c r="V3" s="16" t="inlineStr">
        <is>
          <t>Rate</t>
        </is>
      </c>
      <c r="W3" s="16" t="inlineStr">
        <is>
          <t>Rate</t>
        </is>
      </c>
      <c r="X3" s="16" t="inlineStr">
        <is>
          <t>Rate</t>
        </is>
      </c>
      <c r="Y3" s="16" t="inlineStr">
        <is>
          <t>Rate</t>
        </is>
      </c>
      <c r="Z3" s="16" t="inlineStr">
        <is>
          <t>Rate</t>
        </is>
      </c>
      <c r="AA3" s="16" t="inlineStr">
        <is>
          <t>Rate</t>
        </is>
      </c>
      <c r="AB3" s="16" t="inlineStr">
        <is>
          <t>Rate</t>
        </is>
      </c>
      <c r="AC3" s="16" t="inlineStr">
        <is>
          <t>Rate</t>
        </is>
      </c>
      <c r="AD3" s="16" t="inlineStr">
        <is>
          <t>Rate</t>
        </is>
      </c>
      <c r="AE3" s="16" t="inlineStr">
        <is>
          <t>Rate</t>
        </is>
      </c>
      <c r="AF3" s="16" t="inlineStr">
        <is>
          <t>Rate</t>
        </is>
      </c>
      <c r="AJ3" t="n">
        <v>4.5</v>
      </c>
      <c r="AK3" t="n">
        <v>0</v>
      </c>
      <c r="AM3" t="n">
        <v>11.5</v>
      </c>
      <c r="AN3" t="n">
        <v>0</v>
      </c>
    </row>
    <row r="4">
      <c r="A4" s="16" t="n">
        <v>1</v>
      </c>
      <c r="B4" s="16" t="n">
        <v>1</v>
      </c>
      <c r="C4" s="16" t="n">
        <v>1</v>
      </c>
      <c r="D4" t="n">
        <v>18</v>
      </c>
      <c r="E4" t="n">
        <v>0</v>
      </c>
      <c r="F4" t="n">
        <v>34</v>
      </c>
      <c r="G4" t="n">
        <v>35</v>
      </c>
      <c r="H4" t="n">
        <v>2</v>
      </c>
      <c r="I4" t="n">
        <v>2</v>
      </c>
      <c r="J4" t="n">
        <v>1</v>
      </c>
      <c r="K4" t="n">
        <v>1</v>
      </c>
      <c r="L4" t="n">
        <v>1</v>
      </c>
      <c r="M4" t="n">
        <v>0</v>
      </c>
      <c r="N4" t="n">
        <v>1</v>
      </c>
      <c r="O4" t="n">
        <v>1</v>
      </c>
      <c r="P4" t="n">
        <v>4</v>
      </c>
      <c r="R4" s="15">
        <f>D4/$B4</f>
        <v/>
      </c>
      <c r="S4" s="15">
        <f>E4/$B4</f>
        <v/>
      </c>
      <c r="T4" s="15">
        <f>F4/$B4</f>
        <v/>
      </c>
      <c r="U4" s="15">
        <f>G4/$B4</f>
        <v/>
      </c>
      <c r="V4" s="15">
        <f>H4/$B4</f>
        <v/>
      </c>
      <c r="W4" s="15">
        <f>I4/$B4</f>
        <v/>
      </c>
      <c r="X4" s="15">
        <f>J4/$B4</f>
        <v/>
      </c>
      <c r="Y4" s="15">
        <f>K4/$B4</f>
        <v/>
      </c>
      <c r="Z4" s="15">
        <f>L4/$B4</f>
        <v/>
      </c>
      <c r="AA4" s="15">
        <f>M4/$B4</f>
        <v/>
      </c>
      <c r="AB4" s="15">
        <f>N4/$B4</f>
        <v/>
      </c>
      <c r="AC4" s="15">
        <f>O4/$B4</f>
        <v/>
      </c>
      <c r="AD4" s="15">
        <f>(M4+N4+O4)/B4</f>
        <v/>
      </c>
      <c r="AE4" s="15">
        <f>(F4+I4+J4+K4+L4+M4+N4+O4)/$B4</f>
        <v/>
      </c>
      <c r="AF4" s="15">
        <f>P4/$B4</f>
        <v/>
      </c>
      <c r="AJ4" t="n">
        <v>4.5</v>
      </c>
      <c r="AK4" t="n">
        <v>1000</v>
      </c>
      <c r="AM4" t="n">
        <v>11.5</v>
      </c>
      <c r="AN4" t="n">
        <v>1000</v>
      </c>
    </row>
    <row r="5">
      <c r="A5" s="16" t="n">
        <v>2</v>
      </c>
      <c r="B5" s="16" t="n">
        <v>1</v>
      </c>
      <c r="C5" s="16" t="n">
        <v>1</v>
      </c>
      <c r="D5" t="n">
        <v>0</v>
      </c>
      <c r="E5" t="n">
        <v>0</v>
      </c>
      <c r="F5" t="n">
        <v>5</v>
      </c>
      <c r="G5" t="n">
        <v>35</v>
      </c>
      <c r="H5" t="n">
        <v>2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R5" s="15">
        <f>D5/$B5</f>
        <v/>
      </c>
      <c r="S5" s="15">
        <f>E5/$B5</f>
        <v/>
      </c>
      <c r="T5" s="15">
        <f>F5/$B5</f>
        <v/>
      </c>
      <c r="U5" s="15">
        <f>G5-G4/$B5</f>
        <v/>
      </c>
      <c r="V5" s="15">
        <f>H5/$B5</f>
        <v/>
      </c>
      <c r="W5" s="15">
        <f>I5/$B5</f>
        <v/>
      </c>
      <c r="X5" s="15">
        <f>J5/$B5</f>
        <v/>
      </c>
      <c r="Y5" s="15">
        <f>K5/$B5</f>
        <v/>
      </c>
      <c r="Z5" s="15">
        <f>L5/$B5</f>
        <v/>
      </c>
      <c r="AA5" s="15">
        <f>M5/$B5</f>
        <v/>
      </c>
      <c r="AB5" s="15">
        <f>N5/$B5</f>
        <v/>
      </c>
      <c r="AC5" s="15">
        <f>O5/$B5</f>
        <v/>
      </c>
      <c r="AD5" s="15">
        <f>(M5+N5+O5)/B5</f>
        <v/>
      </c>
      <c r="AE5" s="15">
        <f>(F5+I5+J5+K5+L5+M5+N5+O5)/$B5</f>
        <v/>
      </c>
      <c r="AF5" s="15">
        <f>P5/$B5</f>
        <v/>
      </c>
    </row>
    <row r="6">
      <c r="A6" s="16" t="n">
        <v>3</v>
      </c>
      <c r="B6" s="16" t="n">
        <v>1</v>
      </c>
      <c r="C6" s="16" t="n">
        <v>1</v>
      </c>
      <c r="D6" t="n">
        <v>16</v>
      </c>
      <c r="E6" t="n">
        <v>0</v>
      </c>
      <c r="F6" t="n">
        <v>12</v>
      </c>
      <c r="G6" t="n">
        <v>75</v>
      </c>
      <c r="H6" t="n">
        <v>2</v>
      </c>
      <c r="I6" t="n">
        <v>3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32</v>
      </c>
      <c r="R6" s="15">
        <f>D6/$B6</f>
        <v/>
      </c>
      <c r="S6" s="15">
        <f>E6/$B6</f>
        <v/>
      </c>
      <c r="T6" s="15">
        <f>F6/$B6</f>
        <v/>
      </c>
      <c r="U6" s="15">
        <f>G6-G5/$B6</f>
        <v/>
      </c>
      <c r="V6" s="15">
        <f>H6/$B6</f>
        <v/>
      </c>
      <c r="W6" s="15">
        <f>I6/$B6</f>
        <v/>
      </c>
      <c r="X6" s="15">
        <f>J6/$B6</f>
        <v/>
      </c>
      <c r="Y6" s="15">
        <f>K6/$B6</f>
        <v/>
      </c>
      <c r="Z6" s="15">
        <f>L6/$B6</f>
        <v/>
      </c>
      <c r="AA6" s="15">
        <f>M6/$B6</f>
        <v/>
      </c>
      <c r="AB6" s="15">
        <f>N6/$B6</f>
        <v/>
      </c>
      <c r="AC6" s="15">
        <f>O6/$B6</f>
        <v/>
      </c>
      <c r="AD6" s="15">
        <f>(M6+N6+O6)/B6</f>
        <v/>
      </c>
      <c r="AE6" s="15">
        <f>(F6+I6+J6+K6+L6+M6+N6+O6)/$B6</f>
        <v/>
      </c>
      <c r="AF6" s="15">
        <f>P6/$B6</f>
        <v/>
      </c>
      <c r="AJ6" t="n">
        <v>7.5</v>
      </c>
      <c r="AK6" t="n">
        <v>0</v>
      </c>
      <c r="AM6" t="n">
        <v>12.5</v>
      </c>
      <c r="AN6" t="n">
        <v>0</v>
      </c>
    </row>
    <row r="7">
      <c r="A7" s="16" t="n">
        <v>4</v>
      </c>
      <c r="B7" s="16" t="n">
        <v>1</v>
      </c>
      <c r="C7" s="16" t="n">
        <v>1</v>
      </c>
      <c r="D7" t="n">
        <v>0</v>
      </c>
      <c r="E7" t="n">
        <v>0</v>
      </c>
      <c r="F7" t="n">
        <v>3</v>
      </c>
      <c r="G7" t="n">
        <v>75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R7" s="15">
        <f>D7/$B7</f>
        <v/>
      </c>
      <c r="S7" s="15">
        <f>E7/$B7</f>
        <v/>
      </c>
      <c r="T7" s="15">
        <f>F7/$B7</f>
        <v/>
      </c>
      <c r="U7" s="15">
        <f>G7-G6/$B7</f>
        <v/>
      </c>
      <c r="V7" s="15">
        <f>H7/$B7</f>
        <v/>
      </c>
      <c r="W7" s="15">
        <f>I7/$B7</f>
        <v/>
      </c>
      <c r="X7" s="15">
        <f>J7/$B7</f>
        <v/>
      </c>
      <c r="Y7" s="15">
        <f>K7/$B7</f>
        <v/>
      </c>
      <c r="Z7" s="15">
        <f>L7/$B7</f>
        <v/>
      </c>
      <c r="AA7" s="15">
        <f>M7/$B7</f>
        <v/>
      </c>
      <c r="AB7" s="15">
        <f>N7/$B7</f>
        <v/>
      </c>
      <c r="AC7" s="15">
        <f>O7/$B7</f>
        <v/>
      </c>
      <c r="AD7" s="15">
        <f>(M7+N7+O7)/B7</f>
        <v/>
      </c>
      <c r="AE7" s="15">
        <f>(F7+I7+J7+K7+L7+M7+N7+O7)/$B7</f>
        <v/>
      </c>
      <c r="AF7" s="15">
        <f>P7/$B7</f>
        <v/>
      </c>
      <c r="AJ7" t="n">
        <v>7.5</v>
      </c>
      <c r="AK7" t="n">
        <v>1000</v>
      </c>
      <c r="AM7" t="n">
        <v>12.5</v>
      </c>
      <c r="AN7" t="n">
        <v>1000</v>
      </c>
    </row>
    <row r="8">
      <c r="A8" s="16" t="n">
        <v>5</v>
      </c>
      <c r="B8" s="16" t="n">
        <v>1</v>
      </c>
      <c r="C8" s="16" t="n">
        <v>2</v>
      </c>
      <c r="D8" t="n">
        <v>4</v>
      </c>
      <c r="E8" t="n">
        <v>7</v>
      </c>
      <c r="F8" t="n">
        <v>18</v>
      </c>
      <c r="G8" t="n">
        <v>90</v>
      </c>
      <c r="H8" t="n">
        <v>3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R8" s="15">
        <f>D8/$B8</f>
        <v/>
      </c>
      <c r="S8" s="15">
        <f>E8/$B8</f>
        <v/>
      </c>
      <c r="T8" s="15">
        <f>F8/$B8</f>
        <v/>
      </c>
      <c r="U8" s="15">
        <f>G8-G7/$B8</f>
        <v/>
      </c>
      <c r="V8" s="15">
        <f>H8/$B8</f>
        <v/>
      </c>
      <c r="W8" s="15">
        <f>I8/$B8</f>
        <v/>
      </c>
      <c r="X8" s="15">
        <f>J8/$B8</f>
        <v/>
      </c>
      <c r="Y8" s="15">
        <f>K8/$B8</f>
        <v/>
      </c>
      <c r="Z8" s="15">
        <f>L8/$B8</f>
        <v/>
      </c>
      <c r="AA8" s="15">
        <f>M8/$B8</f>
        <v/>
      </c>
      <c r="AB8" s="15">
        <f>N8/$B8</f>
        <v/>
      </c>
      <c r="AC8" s="15">
        <f>O8/$B8</f>
        <v/>
      </c>
      <c r="AD8" s="15">
        <f>(M8+N8+O8)/B8</f>
        <v/>
      </c>
      <c r="AE8" s="15">
        <f>(F8+I8+J8+K8+L8+M8+N8+O8)/$B8</f>
        <v/>
      </c>
      <c r="AF8" s="15">
        <f>P8/$B8</f>
        <v/>
      </c>
    </row>
    <row r="9">
      <c r="A9" s="16" t="n">
        <v>6</v>
      </c>
      <c r="B9" s="16" t="n">
        <v>1</v>
      </c>
      <c r="C9" s="16" t="n">
        <v>2</v>
      </c>
      <c r="D9" t="n">
        <v>2</v>
      </c>
      <c r="E9" t="n">
        <v>0</v>
      </c>
      <c r="F9" t="n">
        <v>3</v>
      </c>
      <c r="G9" t="n">
        <v>90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R9" s="15">
        <f>D9/$B9</f>
        <v/>
      </c>
      <c r="S9" s="15">
        <f>E9/$B9</f>
        <v/>
      </c>
      <c r="T9" s="15">
        <f>F9/$B9</f>
        <v/>
      </c>
      <c r="U9" s="15">
        <f>G9-G8/$B9</f>
        <v/>
      </c>
      <c r="V9" s="15">
        <f>H9/$B9</f>
        <v/>
      </c>
      <c r="W9" s="15">
        <f>I9/$B9</f>
        <v/>
      </c>
      <c r="X9" s="15">
        <f>J9/$B9</f>
        <v/>
      </c>
      <c r="Y9" s="15">
        <f>K9/$B9</f>
        <v/>
      </c>
      <c r="Z9" s="15">
        <f>L9/$B9</f>
        <v/>
      </c>
      <c r="AA9" s="15">
        <f>M9/$B9</f>
        <v/>
      </c>
      <c r="AB9" s="15">
        <f>N9/$B9</f>
        <v/>
      </c>
      <c r="AC9" s="15">
        <f>O9/$B9</f>
        <v/>
      </c>
      <c r="AD9" s="15">
        <f>(M9+N9+O9)/B9</f>
        <v/>
      </c>
      <c r="AE9" s="15">
        <f>(F9+I9+J9+K9+L9+M9+N9+O9)/$B9</f>
        <v/>
      </c>
      <c r="AF9" s="15">
        <f>P9/$B9</f>
        <v/>
      </c>
      <c r="AM9" t="n">
        <v>13.5</v>
      </c>
      <c r="AN9" t="n">
        <v>0</v>
      </c>
    </row>
    <row r="10">
      <c r="A10" s="16" t="n">
        <v>7</v>
      </c>
      <c r="B10" s="16" t="n">
        <v>1</v>
      </c>
      <c r="C10" s="16" t="n">
        <v>2</v>
      </c>
      <c r="D10" t="n">
        <v>0</v>
      </c>
      <c r="E10" t="n">
        <v>5</v>
      </c>
      <c r="F10" t="n">
        <v>7</v>
      </c>
      <c r="G10" t="n">
        <v>105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118</v>
      </c>
      <c r="R10" s="15">
        <f>D10/$B10</f>
        <v/>
      </c>
      <c r="S10" s="15">
        <f>E10/$B10</f>
        <v/>
      </c>
      <c r="T10" s="15">
        <f>F10/$B10</f>
        <v/>
      </c>
      <c r="U10" s="15">
        <f>G10-G9/$B10</f>
        <v/>
      </c>
      <c r="V10" s="15">
        <f>H10/$B10</f>
        <v/>
      </c>
      <c r="W10" s="15">
        <f>I10/$B10</f>
        <v/>
      </c>
      <c r="X10" s="15">
        <f>J10/$B10</f>
        <v/>
      </c>
      <c r="Y10" s="15">
        <f>K10/$B10</f>
        <v/>
      </c>
      <c r="Z10" s="15">
        <f>L10/$B10</f>
        <v/>
      </c>
      <c r="AA10" s="15">
        <f>M10/$B10</f>
        <v/>
      </c>
      <c r="AB10" s="15">
        <f>N10/$B10</f>
        <v/>
      </c>
      <c r="AC10" s="15">
        <f>O10/$B10</f>
        <v/>
      </c>
      <c r="AD10" s="15">
        <f>(M10+N10+O10)/B10</f>
        <v/>
      </c>
      <c r="AE10" s="15">
        <f>(F10+I10+J10+K10+L10+M10+N10+O10)/$B10</f>
        <v/>
      </c>
      <c r="AF10" s="15">
        <f>P10/$B10</f>
        <v/>
      </c>
      <c r="AM10" t="n">
        <v>13.5</v>
      </c>
      <c r="AN10" t="n">
        <v>1000</v>
      </c>
    </row>
    <row r="11">
      <c r="A11" s="16" t="n">
        <v>8</v>
      </c>
      <c r="B11" s="16" t="n">
        <v>1</v>
      </c>
      <c r="C11" s="16" t="n">
        <v>4</v>
      </c>
      <c r="D11" t="n">
        <v>0</v>
      </c>
      <c r="E11" t="n">
        <v>0</v>
      </c>
      <c r="F11" t="n">
        <v>0</v>
      </c>
      <c r="G11" t="n">
        <v>30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1055</v>
      </c>
      <c r="R11" s="15">
        <f>D11/$B11</f>
        <v/>
      </c>
      <c r="S11" s="15">
        <f>E11/$B11</f>
        <v/>
      </c>
      <c r="T11" s="15">
        <f>F11/$B11</f>
        <v/>
      </c>
      <c r="U11" s="15">
        <f>G11-G10/$B11</f>
        <v/>
      </c>
      <c r="V11" s="15">
        <f>H11/$B11</f>
        <v/>
      </c>
      <c r="W11" s="15">
        <f>I11/$B11</f>
        <v/>
      </c>
      <c r="X11" s="15">
        <f>J11/$B11</f>
        <v/>
      </c>
      <c r="Y11" s="15">
        <f>K11/$B11</f>
        <v/>
      </c>
      <c r="Z11" s="15">
        <f>L11/$B11</f>
        <v/>
      </c>
      <c r="AA11" s="15">
        <f>M11/$B11</f>
        <v/>
      </c>
      <c r="AB11" s="15">
        <f>N11/$B11</f>
        <v/>
      </c>
      <c r="AC11" s="15">
        <f>O11/$B11</f>
        <v/>
      </c>
      <c r="AD11" s="15">
        <f>(M11+N11+O11)/B11</f>
        <v/>
      </c>
      <c r="AE11" s="15">
        <f>(F11+I11+J11+K11+L11+M11+N11+O11)/$B11</f>
        <v/>
      </c>
      <c r="AF11" s="15">
        <f>P11/$B11</f>
        <v/>
      </c>
    </row>
    <row r="12">
      <c r="A12" s="16" t="n">
        <v>9</v>
      </c>
      <c r="B12" s="16" t="n">
        <v>1</v>
      </c>
      <c r="C12" s="16" t="n">
        <v>4</v>
      </c>
      <c r="D12" t="n">
        <v>0</v>
      </c>
      <c r="E12" t="n">
        <v>2</v>
      </c>
      <c r="F12" t="n">
        <v>28</v>
      </c>
      <c r="G12" t="n">
        <v>410</v>
      </c>
      <c r="H12" t="n">
        <v>3</v>
      </c>
      <c r="I12" t="n">
        <v>1</v>
      </c>
      <c r="J12" t="n">
        <v>1</v>
      </c>
      <c r="K12" t="n">
        <v>1</v>
      </c>
      <c r="L12" t="n">
        <v>0</v>
      </c>
      <c r="M12" t="n">
        <v>0</v>
      </c>
      <c r="N12" t="n">
        <v>2</v>
      </c>
      <c r="O12" t="n">
        <v>1</v>
      </c>
      <c r="P12" t="n">
        <v>0</v>
      </c>
      <c r="R12" s="15">
        <f>D12/$B12</f>
        <v/>
      </c>
      <c r="S12" s="15">
        <f>E12/$B12</f>
        <v/>
      </c>
      <c r="T12" s="15">
        <f>F12/$B12</f>
        <v/>
      </c>
      <c r="U12" s="15">
        <f>G12-G11/$B12</f>
        <v/>
      </c>
      <c r="V12" s="15">
        <f>H12/$B12</f>
        <v/>
      </c>
      <c r="W12" s="15">
        <f>I12/$B12</f>
        <v/>
      </c>
      <c r="X12" s="15">
        <f>J12/$B12</f>
        <v/>
      </c>
      <c r="Y12" s="15">
        <f>K12/$B12</f>
        <v/>
      </c>
      <c r="Z12" s="15">
        <f>L12/$B12</f>
        <v/>
      </c>
      <c r="AA12" s="15">
        <f>M12/$B12</f>
        <v/>
      </c>
      <c r="AB12" s="15">
        <f>N12/$B12</f>
        <v/>
      </c>
      <c r="AC12" s="15">
        <f>O12/$B12</f>
        <v/>
      </c>
      <c r="AD12" s="15">
        <f>(M12+N12+O12)/B12</f>
        <v/>
      </c>
      <c r="AE12" s="15">
        <f>(F12+I12+J12+K12+L12+M12+N12+O12)/$B12</f>
        <v/>
      </c>
      <c r="AF12" s="15">
        <f>P12/$B12</f>
        <v/>
      </c>
    </row>
    <row r="13">
      <c r="A13" s="16" t="n">
        <v>10</v>
      </c>
      <c r="B13" s="16" t="n">
        <v>1</v>
      </c>
      <c r="C13" s="16" t="n">
        <v>4</v>
      </c>
      <c r="D13" t="n">
        <v>0</v>
      </c>
      <c r="E13" t="n">
        <v>1</v>
      </c>
      <c r="F13" t="n">
        <v>15</v>
      </c>
      <c r="G13" t="n">
        <v>410</v>
      </c>
      <c r="H13" t="n">
        <v>4</v>
      </c>
      <c r="I13" t="n">
        <v>1</v>
      </c>
      <c r="J13" t="n">
        <v>1</v>
      </c>
      <c r="K13" t="n">
        <v>0</v>
      </c>
      <c r="L13" t="n">
        <v>2</v>
      </c>
      <c r="M13" t="n">
        <v>0</v>
      </c>
      <c r="N13" t="n">
        <v>1</v>
      </c>
      <c r="O13" t="n">
        <v>1</v>
      </c>
      <c r="P13" t="n">
        <v>0</v>
      </c>
      <c r="R13" s="15">
        <f>D13/$B13</f>
        <v/>
      </c>
      <c r="S13" s="15">
        <f>E13/$B13</f>
        <v/>
      </c>
      <c r="T13" s="15">
        <f>F13/$B13</f>
        <v/>
      </c>
      <c r="U13" s="15">
        <f>G13-G12/$B13</f>
        <v/>
      </c>
      <c r="V13" s="15">
        <f>H13/$B13</f>
        <v/>
      </c>
      <c r="W13" s="15">
        <f>I13/$B13</f>
        <v/>
      </c>
      <c r="X13" s="15">
        <f>J13/$B13</f>
        <v/>
      </c>
      <c r="Y13" s="15">
        <f>K13/$B13</f>
        <v/>
      </c>
      <c r="Z13" s="15">
        <f>L13/$B13</f>
        <v/>
      </c>
      <c r="AA13" s="15">
        <f>M13/$B13</f>
        <v/>
      </c>
      <c r="AB13" s="15">
        <f>N13/$B13</f>
        <v/>
      </c>
      <c r="AC13" s="15">
        <f>O13/$B13</f>
        <v/>
      </c>
      <c r="AD13" s="15">
        <f>(M13+N13+O13)/B13</f>
        <v/>
      </c>
      <c r="AE13" s="15">
        <f>(F13+I13+J13+K13+L13+M13+N13+O13)/$B13</f>
        <v/>
      </c>
      <c r="AF13" s="15">
        <f>P13/$B13</f>
        <v/>
      </c>
    </row>
    <row r="14">
      <c r="A14" s="16" t="n">
        <v>11</v>
      </c>
      <c r="B14" s="16" t="n">
        <v>1</v>
      </c>
      <c r="D14" t="e">
        <v>#N/A</v>
      </c>
      <c r="E14" t="e">
        <v>#N/A</v>
      </c>
      <c r="F14" t="e">
        <v>#N/A</v>
      </c>
      <c r="G14" t="e">
        <v>#N/A</v>
      </c>
      <c r="H14" t="e">
        <v>#N/A</v>
      </c>
      <c r="I14" t="e">
        <v>#N/A</v>
      </c>
      <c r="J14" t="e">
        <v>#N/A</v>
      </c>
      <c r="K14" t="e">
        <v>#N/A</v>
      </c>
      <c r="L14" t="e">
        <v>#N/A</v>
      </c>
      <c r="M14" t="e">
        <v>#N/A</v>
      </c>
      <c r="N14" t="e">
        <v>#N/A</v>
      </c>
      <c r="O14" t="e">
        <v>#N/A</v>
      </c>
      <c r="P14" t="e">
        <v>#N/A</v>
      </c>
      <c r="R14" s="15">
        <f>D14/$B14</f>
        <v/>
      </c>
      <c r="S14" s="15">
        <f>E14/$B14</f>
        <v/>
      </c>
      <c r="T14" s="15">
        <f>F14/$B14</f>
        <v/>
      </c>
      <c r="U14" s="15">
        <f>G14/$B14</f>
        <v/>
      </c>
      <c r="V14" s="15">
        <f>H14/$B14</f>
        <v/>
      </c>
      <c r="W14" s="15">
        <f>I14/$B14</f>
        <v/>
      </c>
      <c r="X14" s="15">
        <f>J14/$B14</f>
        <v/>
      </c>
      <c r="Y14" s="15">
        <f>K14/$B14</f>
        <v/>
      </c>
      <c r="Z14" s="15">
        <f>L14/$B14</f>
        <v/>
      </c>
      <c r="AA14" s="15">
        <f>M14/$B14</f>
        <v/>
      </c>
      <c r="AB14" s="15">
        <f>N14/$B14</f>
        <v/>
      </c>
      <c r="AC14" s="15">
        <f>O14/$B14</f>
        <v/>
      </c>
      <c r="AD14" s="15">
        <f>(M14+N14+O14)/B14</f>
        <v/>
      </c>
      <c r="AE14" s="15">
        <f>(F14+I14+J14+K14+L14+M14+N14+O14)/$B14</f>
        <v/>
      </c>
      <c r="AF14" s="15">
        <f>P14/$B14</f>
        <v/>
      </c>
    </row>
    <row r="15">
      <c r="A15" s="16" t="n">
        <v>12</v>
      </c>
      <c r="B15" s="16" t="n">
        <v>1</v>
      </c>
      <c r="D15" t="e">
        <v>#N/A</v>
      </c>
      <c r="E15" t="e">
        <v>#N/A</v>
      </c>
      <c r="F15" t="e">
        <v>#N/A</v>
      </c>
      <c r="G15" t="e">
        <v>#N/A</v>
      </c>
      <c r="H15" t="e">
        <v>#N/A</v>
      </c>
      <c r="I15" t="e">
        <v>#N/A</v>
      </c>
      <c r="J15" t="e">
        <v>#N/A</v>
      </c>
      <c r="K15" t="e">
        <v>#N/A</v>
      </c>
      <c r="L15" t="e">
        <v>#N/A</v>
      </c>
      <c r="M15" t="e">
        <v>#N/A</v>
      </c>
      <c r="N15" t="e">
        <v>#N/A</v>
      </c>
      <c r="O15" t="e">
        <v>#N/A</v>
      </c>
      <c r="P15" t="e">
        <v>#N/A</v>
      </c>
      <c r="R15" s="15">
        <f>D15/$B15</f>
        <v/>
      </c>
      <c r="S15" s="15">
        <f>E15/$B15</f>
        <v/>
      </c>
      <c r="T15" s="15">
        <f>F15/$B15</f>
        <v/>
      </c>
      <c r="U15" s="15">
        <f>G15/$B15</f>
        <v/>
      </c>
      <c r="V15" s="15">
        <f>H15/$B15</f>
        <v/>
      </c>
      <c r="W15" s="15">
        <f>I15/$B15</f>
        <v/>
      </c>
      <c r="X15" s="15">
        <f>J15/$B15</f>
        <v/>
      </c>
      <c r="Y15" s="15">
        <f>K15/$B15</f>
        <v/>
      </c>
      <c r="Z15" s="15">
        <f>L15/$B15</f>
        <v/>
      </c>
      <c r="AA15" s="15">
        <f>M15/$B15</f>
        <v/>
      </c>
      <c r="AB15" s="15">
        <f>N15/$B15</f>
        <v/>
      </c>
      <c r="AC15" s="15">
        <f>O15/$B15</f>
        <v/>
      </c>
      <c r="AD15" s="15">
        <f>(M15+N15+O15)/B15</f>
        <v/>
      </c>
      <c r="AE15" s="15">
        <f>(F15+I15+J15+K15+L15+M15+N15+O15)/$B15</f>
        <v/>
      </c>
      <c r="AF15" s="15">
        <f>P15/$B15</f>
        <v/>
      </c>
    </row>
    <row r="16">
      <c r="A16" s="16" t="n">
        <v>13</v>
      </c>
      <c r="B16" s="16" t="n">
        <v>1</v>
      </c>
      <c r="D16" t="e">
        <v>#N/A</v>
      </c>
      <c r="E16" t="e">
        <v>#N/A</v>
      </c>
      <c r="F16" t="e">
        <v>#N/A</v>
      </c>
      <c r="G16" t="e">
        <v>#N/A</v>
      </c>
      <c r="H16" t="e">
        <v>#N/A</v>
      </c>
      <c r="I16" t="e">
        <v>#N/A</v>
      </c>
      <c r="J16" t="e">
        <v>#N/A</v>
      </c>
      <c r="K16" t="e">
        <v>#N/A</v>
      </c>
      <c r="L16" t="e">
        <v>#N/A</v>
      </c>
      <c r="M16" t="e">
        <v>#N/A</v>
      </c>
      <c r="N16" t="e">
        <v>#N/A</v>
      </c>
      <c r="O16" t="e">
        <v>#N/A</v>
      </c>
      <c r="P16" t="e">
        <v>#N/A</v>
      </c>
      <c r="R16" s="15">
        <f>D16/$B16</f>
        <v/>
      </c>
      <c r="S16" s="15">
        <f>E16/$B16</f>
        <v/>
      </c>
      <c r="T16" s="15">
        <f>F16/$B16</f>
        <v/>
      </c>
      <c r="U16" s="15">
        <f>G16/$B16</f>
        <v/>
      </c>
      <c r="V16" s="15">
        <f>H16/$B16</f>
        <v/>
      </c>
      <c r="W16" s="15">
        <f>I16/$B16</f>
        <v/>
      </c>
      <c r="X16" s="15">
        <f>J16/$B16</f>
        <v/>
      </c>
      <c r="Y16" s="15">
        <f>K16/$B16</f>
        <v/>
      </c>
      <c r="Z16" s="15">
        <f>L16/$B16</f>
        <v/>
      </c>
      <c r="AA16" s="15">
        <f>M16/$B16</f>
        <v/>
      </c>
      <c r="AB16" s="15">
        <f>N16/$B16</f>
        <v/>
      </c>
      <c r="AC16" s="15">
        <f>O16/$B16</f>
        <v/>
      </c>
      <c r="AD16" s="15">
        <f>(M16+N16+O16)/B16</f>
        <v/>
      </c>
      <c r="AE16" s="15">
        <f>(F16+I16+J16+K16+L16+M16+N16+O16)/$B16</f>
        <v/>
      </c>
      <c r="AF16" s="15">
        <f>P16/$B16</f>
        <v/>
      </c>
    </row>
    <row r="17">
      <c r="A17" s="16" t="n">
        <v>14</v>
      </c>
      <c r="B17" s="16" t="n">
        <v>1</v>
      </c>
      <c r="D17" t="e">
        <v>#N/A</v>
      </c>
      <c r="E17" t="e">
        <v>#N/A</v>
      </c>
      <c r="F17" t="e">
        <v>#N/A</v>
      </c>
      <c r="G17" t="e">
        <v>#N/A</v>
      </c>
      <c r="H17" t="e">
        <v>#N/A</v>
      </c>
      <c r="I17" t="e">
        <v>#N/A</v>
      </c>
      <c r="J17" t="e">
        <v>#N/A</v>
      </c>
      <c r="K17" t="e">
        <v>#N/A</v>
      </c>
      <c r="L17" t="e">
        <v>#N/A</v>
      </c>
      <c r="M17" t="e">
        <v>#N/A</v>
      </c>
      <c r="N17" t="e">
        <v>#N/A</v>
      </c>
      <c r="O17" t="e">
        <v>#N/A</v>
      </c>
      <c r="P17" t="e">
        <v>#N/A</v>
      </c>
      <c r="R17" s="15">
        <f>D17/$B17</f>
        <v/>
      </c>
      <c r="S17" s="15">
        <f>E17/$B17</f>
        <v/>
      </c>
      <c r="T17" s="15">
        <f>F17/$B17</f>
        <v/>
      </c>
      <c r="U17" s="15">
        <f>G17/$B17</f>
        <v/>
      </c>
      <c r="V17" s="15">
        <f>H17/$B17</f>
        <v/>
      </c>
      <c r="W17" s="15">
        <f>I17/$B17</f>
        <v/>
      </c>
      <c r="X17" s="15">
        <f>J17/$B17</f>
        <v/>
      </c>
      <c r="Y17" s="15">
        <f>K17/$B17</f>
        <v/>
      </c>
      <c r="Z17" s="15">
        <f>L17/$B17</f>
        <v/>
      </c>
      <c r="AA17" s="15">
        <f>M17/$B17</f>
        <v/>
      </c>
      <c r="AB17" s="15">
        <f>N17/$B17</f>
        <v/>
      </c>
      <c r="AC17" s="15">
        <f>O17/$B17</f>
        <v/>
      </c>
      <c r="AD17" s="15">
        <f>(M17+N17+O17)/B17</f>
        <v/>
      </c>
      <c r="AE17" s="15">
        <f>(F17+I17+J17+K17+L17+M17+N17+O17)/$B17</f>
        <v/>
      </c>
      <c r="AF17" s="15">
        <f>P17/$B17</f>
        <v/>
      </c>
    </row>
    <row r="18">
      <c r="A18" s="16" t="n">
        <v>15</v>
      </c>
      <c r="B18" s="16" t="n">
        <v>1</v>
      </c>
      <c r="D18" t="e">
        <v>#N/A</v>
      </c>
      <c r="E18" t="e">
        <v>#N/A</v>
      </c>
      <c r="F18" t="e">
        <v>#N/A</v>
      </c>
      <c r="G18" t="e">
        <v>#N/A</v>
      </c>
      <c r="H18" t="e">
        <v>#N/A</v>
      </c>
      <c r="I18" t="e">
        <v>#N/A</v>
      </c>
      <c r="J18" t="e">
        <v>#N/A</v>
      </c>
      <c r="K18" t="e">
        <v>#N/A</v>
      </c>
      <c r="L18" t="e">
        <v>#N/A</v>
      </c>
      <c r="M18" t="e">
        <v>#N/A</v>
      </c>
      <c r="N18" t="e">
        <v>#N/A</v>
      </c>
      <c r="O18" t="e">
        <v>#N/A</v>
      </c>
      <c r="P18" t="e">
        <v>#N/A</v>
      </c>
      <c r="R18" s="15">
        <f>D18/$B18</f>
        <v/>
      </c>
      <c r="S18" s="15">
        <f>E18/$B18</f>
        <v/>
      </c>
      <c r="T18" s="15">
        <f>F18/$B18</f>
        <v/>
      </c>
      <c r="U18" s="15">
        <f>G18/$B18</f>
        <v/>
      </c>
      <c r="V18" s="15">
        <f>H18/$B18</f>
        <v/>
      </c>
      <c r="W18" s="15">
        <f>I18/$B18</f>
        <v/>
      </c>
      <c r="X18" s="15">
        <f>J18/$B18</f>
        <v/>
      </c>
      <c r="Y18" s="15">
        <f>K18/$B18</f>
        <v/>
      </c>
      <c r="Z18" s="15">
        <f>L18/$B18</f>
        <v/>
      </c>
      <c r="AA18" s="15">
        <f>M18/$B18</f>
        <v/>
      </c>
      <c r="AB18" s="15">
        <f>N18/$B18</f>
        <v/>
      </c>
      <c r="AC18" s="15">
        <f>O18/$B18</f>
        <v/>
      </c>
      <c r="AD18" s="15">
        <f>(M18+N18+O18)/B18</f>
        <v/>
      </c>
      <c r="AE18" s="15">
        <f>(F18+I18+J18+K18+L18+M18+N18+O18)/$B18</f>
        <v/>
      </c>
      <c r="AF18" s="15">
        <f>P18/$B18</f>
        <v/>
      </c>
    </row>
    <row r="19">
      <c r="A19" s="16" t="n">
        <v>16</v>
      </c>
      <c r="B19" s="16" t="n">
        <v>1</v>
      </c>
      <c r="D19" t="e">
        <v>#N/A</v>
      </c>
      <c r="E19" t="e">
        <v>#N/A</v>
      </c>
      <c r="F19" t="e">
        <v>#N/A</v>
      </c>
      <c r="G19" t="e">
        <v>#N/A</v>
      </c>
      <c r="H19" t="e">
        <v>#N/A</v>
      </c>
      <c r="I19" t="e">
        <v>#N/A</v>
      </c>
      <c r="J19" t="e">
        <v>#N/A</v>
      </c>
      <c r="K19" t="e">
        <v>#N/A</v>
      </c>
      <c r="L19" t="e">
        <v>#N/A</v>
      </c>
      <c r="M19" t="e">
        <v>#N/A</v>
      </c>
      <c r="N19" t="e">
        <v>#N/A</v>
      </c>
      <c r="O19" t="e">
        <v>#N/A</v>
      </c>
      <c r="P19" t="e">
        <v>#N/A</v>
      </c>
      <c r="R19" s="15">
        <f>D19/$B19</f>
        <v/>
      </c>
      <c r="S19" s="15">
        <f>E19/$B19</f>
        <v/>
      </c>
      <c r="T19" s="15">
        <f>F19/$B19</f>
        <v/>
      </c>
      <c r="U19" s="15">
        <f>G19/$B19</f>
        <v/>
      </c>
      <c r="V19" s="15">
        <f>H19/$B19</f>
        <v/>
      </c>
      <c r="W19" s="15">
        <f>I19/$B19</f>
        <v/>
      </c>
      <c r="X19" s="15">
        <f>J19/$B19</f>
        <v/>
      </c>
      <c r="Y19" s="15">
        <f>K19/$B19</f>
        <v/>
      </c>
      <c r="Z19" s="15">
        <f>L19/$B19</f>
        <v/>
      </c>
      <c r="AA19" s="15">
        <f>M19/$B19</f>
        <v/>
      </c>
      <c r="AB19" s="15">
        <f>N19/$B19</f>
        <v/>
      </c>
      <c r="AC19" s="15">
        <f>O19/$B19</f>
        <v/>
      </c>
      <c r="AD19" s="15">
        <f>(M19+N19+O19)/B19</f>
        <v/>
      </c>
      <c r="AE19" s="15">
        <f>(F19+I19+J19+K19+L19+M19+N19+O19)/$B19</f>
        <v/>
      </c>
      <c r="AF19" s="15">
        <f>P19/$B19</f>
        <v/>
      </c>
    </row>
    <row r="20">
      <c r="A20" s="16" t="n">
        <v>17</v>
      </c>
      <c r="B20" s="16" t="n">
        <v>1</v>
      </c>
      <c r="D20" t="e">
        <v>#N/A</v>
      </c>
      <c r="E20" t="e">
        <v>#N/A</v>
      </c>
      <c r="F20" t="e">
        <v>#N/A</v>
      </c>
      <c r="G20" t="e">
        <v>#N/A</v>
      </c>
      <c r="H20" t="e">
        <v>#N/A</v>
      </c>
      <c r="I20" t="e">
        <v>#N/A</v>
      </c>
      <c r="J20" t="e">
        <v>#N/A</v>
      </c>
      <c r="K20" t="e">
        <v>#N/A</v>
      </c>
      <c r="L20" t="e">
        <v>#N/A</v>
      </c>
      <c r="M20" t="e">
        <v>#N/A</v>
      </c>
      <c r="N20" t="e">
        <v>#N/A</v>
      </c>
      <c r="O20" t="e">
        <v>#N/A</v>
      </c>
      <c r="P20" t="e">
        <v>#N/A</v>
      </c>
      <c r="R20" s="15">
        <f>D20/$B20</f>
        <v/>
      </c>
      <c r="S20" s="15">
        <f>E20/$B20</f>
        <v/>
      </c>
      <c r="T20" s="15">
        <f>F20/$B20</f>
        <v/>
      </c>
      <c r="U20" s="15">
        <f>G20/$B20</f>
        <v/>
      </c>
      <c r="V20" s="15">
        <f>H20/$B20</f>
        <v/>
      </c>
      <c r="W20" s="15">
        <f>I20/$B20</f>
        <v/>
      </c>
      <c r="X20" s="15">
        <f>J20/$B20</f>
        <v/>
      </c>
      <c r="Y20" s="15">
        <f>K20/$B20</f>
        <v/>
      </c>
      <c r="Z20" s="15">
        <f>L20/$B20</f>
        <v/>
      </c>
      <c r="AA20" s="15">
        <f>M20/$B20</f>
        <v/>
      </c>
      <c r="AB20" s="15">
        <f>N20/$B20</f>
        <v/>
      </c>
      <c r="AC20" s="15">
        <f>O20/$B20</f>
        <v/>
      </c>
      <c r="AD20" s="15">
        <f>(M20+N20+O20)/B20</f>
        <v/>
      </c>
      <c r="AE20" s="15">
        <f>(F20+I20+J20+K20+L20+M20+N20+O20)/$B20</f>
        <v/>
      </c>
      <c r="AF20" s="15">
        <f>P20/$B20</f>
        <v/>
      </c>
    </row>
    <row r="21">
      <c r="A21" s="16" t="n">
        <v>18</v>
      </c>
      <c r="B21" s="16" t="n">
        <v>1</v>
      </c>
      <c r="D21" t="e">
        <v>#N/A</v>
      </c>
      <c r="E21" t="e">
        <v>#N/A</v>
      </c>
      <c r="F21" t="e">
        <v>#N/A</v>
      </c>
      <c r="G21" t="e">
        <v>#N/A</v>
      </c>
      <c r="H21" t="e">
        <v>#N/A</v>
      </c>
      <c r="I21" t="e">
        <v>#N/A</v>
      </c>
      <c r="J21" t="e">
        <v>#N/A</v>
      </c>
      <c r="K21" t="e">
        <v>#N/A</v>
      </c>
      <c r="L21" t="e">
        <v>#N/A</v>
      </c>
      <c r="M21" t="e">
        <v>#N/A</v>
      </c>
      <c r="N21" t="e">
        <v>#N/A</v>
      </c>
      <c r="O21" t="e">
        <v>#N/A</v>
      </c>
      <c r="P21" t="e">
        <v>#N/A</v>
      </c>
      <c r="R21" s="15">
        <f>D21/$B21</f>
        <v/>
      </c>
      <c r="S21" s="15">
        <f>E21/$B21</f>
        <v/>
      </c>
      <c r="T21" s="15">
        <f>F21/$B21</f>
        <v/>
      </c>
      <c r="U21" s="15">
        <f>G21/$B21</f>
        <v/>
      </c>
      <c r="V21" s="15">
        <f>H21/$B21</f>
        <v/>
      </c>
      <c r="W21" s="15">
        <f>I21/$B21</f>
        <v/>
      </c>
      <c r="X21" s="15">
        <f>J21/$B21</f>
        <v/>
      </c>
      <c r="Y21" s="15">
        <f>K21/$B21</f>
        <v/>
      </c>
      <c r="Z21" s="15">
        <f>L21/$B21</f>
        <v/>
      </c>
      <c r="AA21" s="15">
        <f>M21/$B21</f>
        <v/>
      </c>
      <c r="AB21" s="15">
        <f>N21/$B21</f>
        <v/>
      </c>
      <c r="AC21" s="15">
        <f>O21/$B21</f>
        <v/>
      </c>
      <c r="AD21" s="15">
        <f>(M21+N21+O21)/B21</f>
        <v/>
      </c>
      <c r="AE21" s="15">
        <f>(F21+I21+J21+K21+L21+M21+N21+O21)/$B21</f>
        <v/>
      </c>
      <c r="AF21" s="15">
        <f>P21/$B21</f>
        <v/>
      </c>
    </row>
    <row r="22">
      <c r="A22" s="16" t="n">
        <v>19</v>
      </c>
      <c r="B22" s="16" t="n">
        <v>1</v>
      </c>
      <c r="D22" t="e">
        <v>#N/A</v>
      </c>
      <c r="E22" t="e">
        <v>#N/A</v>
      </c>
      <c r="F22" t="e">
        <v>#N/A</v>
      </c>
      <c r="G22" t="e">
        <v>#N/A</v>
      </c>
      <c r="H22" t="e">
        <v>#N/A</v>
      </c>
      <c r="I22" t="e">
        <v>#N/A</v>
      </c>
      <c r="J22" t="e">
        <v>#N/A</v>
      </c>
      <c r="K22" t="e">
        <v>#N/A</v>
      </c>
      <c r="L22" t="e">
        <v>#N/A</v>
      </c>
      <c r="M22" t="e">
        <v>#N/A</v>
      </c>
      <c r="N22" t="e">
        <v>#N/A</v>
      </c>
      <c r="O22" t="e">
        <v>#N/A</v>
      </c>
      <c r="P22" t="e">
        <v>#N/A</v>
      </c>
      <c r="R22" s="15">
        <f>D22/$B22</f>
        <v/>
      </c>
      <c r="S22" s="15">
        <f>E22/$B22</f>
        <v/>
      </c>
      <c r="T22" s="15">
        <f>F22/$B22</f>
        <v/>
      </c>
      <c r="U22" s="15">
        <f>G22/$B22</f>
        <v/>
      </c>
      <c r="V22" s="15">
        <f>H22/$B22</f>
        <v/>
      </c>
      <c r="W22" s="15">
        <f>I22/$B22</f>
        <v/>
      </c>
      <c r="X22" s="15">
        <f>J22/$B22</f>
        <v/>
      </c>
      <c r="Y22" s="15">
        <f>K22/$B22</f>
        <v/>
      </c>
      <c r="Z22" s="15">
        <f>L22/$B22</f>
        <v/>
      </c>
      <c r="AA22" s="15">
        <f>M22/$B22</f>
        <v/>
      </c>
      <c r="AB22" s="15">
        <f>N22/$B22</f>
        <v/>
      </c>
      <c r="AC22" s="15">
        <f>O22/$B22</f>
        <v/>
      </c>
      <c r="AD22" s="15">
        <f>(M22+N22+O22)/B22</f>
        <v/>
      </c>
      <c r="AE22" s="15">
        <f>(F22+I22+J22+K22+L22+M22+N22+O22)/$B22</f>
        <v/>
      </c>
      <c r="AF22" s="15">
        <f>P22/$B22</f>
        <v/>
      </c>
    </row>
    <row r="23">
      <c r="A23" s="16" t="n">
        <v>20</v>
      </c>
      <c r="B23" s="16" t="n">
        <v>1</v>
      </c>
      <c r="D23" t="e">
        <v>#N/A</v>
      </c>
      <c r="E23" t="e">
        <v>#N/A</v>
      </c>
      <c r="F23" t="e">
        <v>#N/A</v>
      </c>
      <c r="G23" t="e">
        <v>#N/A</v>
      </c>
      <c r="H23" t="e">
        <v>#N/A</v>
      </c>
      <c r="I23" t="e">
        <v>#N/A</v>
      </c>
      <c r="J23" t="e">
        <v>#N/A</v>
      </c>
      <c r="K23" t="e">
        <v>#N/A</v>
      </c>
      <c r="L23" t="e">
        <v>#N/A</v>
      </c>
      <c r="M23" t="e">
        <v>#N/A</v>
      </c>
      <c r="N23" t="e">
        <v>#N/A</v>
      </c>
      <c r="O23" t="e">
        <v>#N/A</v>
      </c>
      <c r="P23" t="e">
        <v>#N/A</v>
      </c>
      <c r="R23" s="15">
        <f>D23/$B23</f>
        <v/>
      </c>
      <c r="S23" s="15">
        <f>E23/$B23</f>
        <v/>
      </c>
      <c r="T23" s="15">
        <f>F23/$B23</f>
        <v/>
      </c>
      <c r="U23" s="15">
        <f>G23/$B23</f>
        <v/>
      </c>
      <c r="V23" s="15">
        <f>H23/$B23</f>
        <v/>
      </c>
      <c r="W23" s="15">
        <f>I23/$B23</f>
        <v/>
      </c>
      <c r="X23" s="15">
        <f>J23/$B23</f>
        <v/>
      </c>
      <c r="Y23" s="15">
        <f>K23/$B23</f>
        <v/>
      </c>
      <c r="Z23" s="15">
        <f>L23/$B23</f>
        <v/>
      </c>
      <c r="AA23" s="15">
        <f>M23/$B23</f>
        <v/>
      </c>
      <c r="AB23" s="15">
        <f>N23/$B23</f>
        <v/>
      </c>
      <c r="AC23" s="15">
        <f>O23/$B23</f>
        <v/>
      </c>
      <c r="AD23" s="15">
        <f>(M23+N23+O23)/B23</f>
        <v/>
      </c>
      <c r="AE23" s="15">
        <f>(F23+I23+J23+K23+L23+M23+N23+O23)/$B23</f>
        <v/>
      </c>
      <c r="AF23" s="15">
        <f>P23/$B23</f>
        <v/>
      </c>
    </row>
    <row r="24">
      <c r="A24" s="16" t="n">
        <v>21</v>
      </c>
      <c r="B24" s="16" t="n">
        <v>1</v>
      </c>
      <c r="D24" t="e">
        <v>#N/A</v>
      </c>
      <c r="E24" t="e">
        <v>#N/A</v>
      </c>
      <c r="F24" t="e">
        <v>#N/A</v>
      </c>
      <c r="G24" t="e">
        <v>#N/A</v>
      </c>
      <c r="H24" t="e">
        <v>#N/A</v>
      </c>
      <c r="I24" t="e">
        <v>#N/A</v>
      </c>
      <c r="J24" t="e">
        <v>#N/A</v>
      </c>
      <c r="K24" t="e">
        <v>#N/A</v>
      </c>
      <c r="L24" t="e">
        <v>#N/A</v>
      </c>
      <c r="M24" t="e">
        <v>#N/A</v>
      </c>
      <c r="N24" t="e">
        <v>#N/A</v>
      </c>
      <c r="O24" t="e">
        <v>#N/A</v>
      </c>
      <c r="P24" t="e">
        <v>#N/A</v>
      </c>
      <c r="R24" s="15">
        <f>D24/$B24</f>
        <v/>
      </c>
      <c r="S24" s="15">
        <f>E24/$B24</f>
        <v/>
      </c>
      <c r="T24" s="15">
        <f>F24/$B24</f>
        <v/>
      </c>
      <c r="U24" s="15">
        <f>G24/$B24</f>
        <v/>
      </c>
      <c r="V24" s="15">
        <f>H24/$B24</f>
        <v/>
      </c>
      <c r="W24" s="15">
        <f>I24/$B24</f>
        <v/>
      </c>
      <c r="X24" s="15">
        <f>J24/$B24</f>
        <v/>
      </c>
      <c r="Y24" s="15">
        <f>K24/$B24</f>
        <v/>
      </c>
      <c r="Z24" s="15">
        <f>L24/$B24</f>
        <v/>
      </c>
      <c r="AA24" s="15">
        <f>M24/$B24</f>
        <v/>
      </c>
      <c r="AB24" s="15">
        <f>N24/$B24</f>
        <v/>
      </c>
      <c r="AC24" s="15">
        <f>O24/$B24</f>
        <v/>
      </c>
      <c r="AD24" s="15">
        <f>(M24+N24+O24)/B24</f>
        <v/>
      </c>
      <c r="AE24" s="15">
        <f>(F24+I24+J24+K24+L24+M24+N24+O24)/$B24</f>
        <v/>
      </c>
      <c r="AF24" s="15">
        <f>P24/$B24</f>
        <v/>
      </c>
    </row>
    <row r="25">
      <c r="A25" s="16" t="n">
        <v>22</v>
      </c>
      <c r="B25" s="16" t="n">
        <v>1</v>
      </c>
      <c r="D25" t="e">
        <v>#N/A</v>
      </c>
      <c r="E25" t="e">
        <v>#N/A</v>
      </c>
      <c r="F25" t="e">
        <v>#N/A</v>
      </c>
      <c r="G25" t="e">
        <v>#N/A</v>
      </c>
      <c r="H25" t="e">
        <v>#N/A</v>
      </c>
      <c r="I25" t="e">
        <v>#N/A</v>
      </c>
      <c r="J25" t="e">
        <v>#N/A</v>
      </c>
      <c r="K25" t="e">
        <v>#N/A</v>
      </c>
      <c r="L25" t="e">
        <v>#N/A</v>
      </c>
      <c r="M25" t="e">
        <v>#N/A</v>
      </c>
      <c r="N25" t="e">
        <v>#N/A</v>
      </c>
      <c r="O25" t="e">
        <v>#N/A</v>
      </c>
      <c r="P25" t="e">
        <v>#N/A</v>
      </c>
      <c r="R25" s="15">
        <f>D25/$B25</f>
        <v/>
      </c>
      <c r="S25" s="15">
        <f>E25/$B25</f>
        <v/>
      </c>
      <c r="T25" s="15">
        <f>F25/$B25</f>
        <v/>
      </c>
      <c r="U25" s="15">
        <f>G25/$B25</f>
        <v/>
      </c>
      <c r="V25" s="15">
        <f>H25/$B25</f>
        <v/>
      </c>
      <c r="W25" s="15">
        <f>I25/$B25</f>
        <v/>
      </c>
      <c r="X25" s="15">
        <f>J25/$B25</f>
        <v/>
      </c>
      <c r="Y25" s="15">
        <f>K25/$B25</f>
        <v/>
      </c>
      <c r="Z25" s="15">
        <f>L25/$B25</f>
        <v/>
      </c>
      <c r="AA25" s="15">
        <f>M25/$B25</f>
        <v/>
      </c>
      <c r="AB25" s="15">
        <f>N25/$B25</f>
        <v/>
      </c>
      <c r="AC25" s="15">
        <f>O25/$B25</f>
        <v/>
      </c>
      <c r="AD25" s="15">
        <f>(M25+N25+O25)/B25</f>
        <v/>
      </c>
      <c r="AE25" s="15">
        <f>(F25+I25+J25+K25+L25+M25+N25+O25)/$B25</f>
        <v/>
      </c>
      <c r="AF25" s="15">
        <f>P25/$B25</f>
        <v/>
      </c>
    </row>
    <row r="26">
      <c r="A26" s="16" t="n">
        <v>23</v>
      </c>
      <c r="B26" s="16" t="n">
        <v>1</v>
      </c>
      <c r="D26" t="e">
        <v>#N/A</v>
      </c>
      <c r="E26" t="e">
        <v>#N/A</v>
      </c>
      <c r="F26" t="e">
        <v>#N/A</v>
      </c>
      <c r="G26" t="e">
        <v>#N/A</v>
      </c>
      <c r="H26" t="e">
        <v>#N/A</v>
      </c>
      <c r="I26" t="e">
        <v>#N/A</v>
      </c>
      <c r="J26" t="e">
        <v>#N/A</v>
      </c>
      <c r="K26" t="e">
        <v>#N/A</v>
      </c>
      <c r="L26" t="e">
        <v>#N/A</v>
      </c>
      <c r="M26" t="e">
        <v>#N/A</v>
      </c>
      <c r="N26" t="e">
        <v>#N/A</v>
      </c>
      <c r="O26" t="e">
        <v>#N/A</v>
      </c>
      <c r="P26" t="e">
        <v>#N/A</v>
      </c>
      <c r="R26" s="15">
        <f>D26/$B26</f>
        <v/>
      </c>
      <c r="S26" s="15">
        <f>E26/$B26</f>
        <v/>
      </c>
      <c r="T26" s="15">
        <f>F26/$B26</f>
        <v/>
      </c>
      <c r="U26" s="15">
        <f>G26/$B26</f>
        <v/>
      </c>
      <c r="V26" s="15">
        <f>H26/$B26</f>
        <v/>
      </c>
      <c r="W26" s="15">
        <f>I26/$B26</f>
        <v/>
      </c>
      <c r="X26" s="15">
        <f>J26/$B26</f>
        <v/>
      </c>
      <c r="Y26" s="15">
        <f>K26/$B26</f>
        <v/>
      </c>
      <c r="Z26" s="15">
        <f>L26/$B26</f>
        <v/>
      </c>
      <c r="AA26" s="15">
        <f>M26/$B26</f>
        <v/>
      </c>
      <c r="AB26" s="15">
        <f>N26/$B26</f>
        <v/>
      </c>
      <c r="AC26" s="15">
        <f>O26/$B26</f>
        <v/>
      </c>
      <c r="AD26" s="15">
        <f>(M26+N26+O26)/B26</f>
        <v/>
      </c>
      <c r="AE26" s="15">
        <f>(F26+I26+J26+K26+L26+M26+N26+O26)/$B26</f>
        <v/>
      </c>
      <c r="AF26" s="15">
        <f>P26/$B26</f>
        <v/>
      </c>
    </row>
    <row r="27">
      <c r="A27" s="16" t="n">
        <v>24</v>
      </c>
      <c r="B27" s="16" t="n">
        <v>1</v>
      </c>
      <c r="D27" t="e">
        <v>#N/A</v>
      </c>
      <c r="E27" t="e">
        <v>#N/A</v>
      </c>
      <c r="F27" t="e">
        <v>#N/A</v>
      </c>
      <c r="G27" t="e">
        <v>#N/A</v>
      </c>
      <c r="H27" t="e">
        <v>#N/A</v>
      </c>
      <c r="I27" t="e">
        <v>#N/A</v>
      </c>
      <c r="J27" t="e">
        <v>#N/A</v>
      </c>
      <c r="K27" t="e">
        <v>#N/A</v>
      </c>
      <c r="L27" t="e">
        <v>#N/A</v>
      </c>
      <c r="M27" t="e">
        <v>#N/A</v>
      </c>
      <c r="N27" t="e">
        <v>#N/A</v>
      </c>
      <c r="O27" t="e">
        <v>#N/A</v>
      </c>
      <c r="P27" t="e">
        <v>#N/A</v>
      </c>
      <c r="R27" s="15">
        <f>D27/$B27</f>
        <v/>
      </c>
      <c r="S27" s="15">
        <f>E27/$B27</f>
        <v/>
      </c>
      <c r="T27" s="15">
        <f>F27/$B27</f>
        <v/>
      </c>
      <c r="U27" s="15">
        <f>G27/$B27</f>
        <v/>
      </c>
      <c r="V27" s="15">
        <f>H27/$B27</f>
        <v/>
      </c>
      <c r="W27" s="15">
        <f>I27/$B27</f>
        <v/>
      </c>
      <c r="X27" s="15">
        <f>J27/$B27</f>
        <v/>
      </c>
      <c r="Y27" s="15">
        <f>K27/$B27</f>
        <v/>
      </c>
      <c r="Z27" s="15">
        <f>L27/$B27</f>
        <v/>
      </c>
      <c r="AA27" s="15">
        <f>M27/$B27</f>
        <v/>
      </c>
      <c r="AB27" s="15">
        <f>N27/$B27</f>
        <v/>
      </c>
      <c r="AC27" s="15">
        <f>O27/$B27</f>
        <v/>
      </c>
      <c r="AD27" s="15">
        <f>(M27+N27+O27)/B27</f>
        <v/>
      </c>
      <c r="AE27" s="15">
        <f>(F27+I27+J27+K27+L27+M27+N27+O27)/$B27</f>
        <v/>
      </c>
      <c r="AF27" s="15">
        <f>P27/$B27</f>
        <v/>
      </c>
    </row>
    <row r="28">
      <c r="A28" s="16" t="n">
        <v>25</v>
      </c>
      <c r="B28" s="16" t="n">
        <v>1</v>
      </c>
      <c r="D28" t="e">
        <v>#N/A</v>
      </c>
      <c r="E28" t="e">
        <v>#N/A</v>
      </c>
      <c r="F28" t="e">
        <v>#N/A</v>
      </c>
      <c r="G28" t="e">
        <v>#N/A</v>
      </c>
      <c r="H28" t="e">
        <v>#N/A</v>
      </c>
      <c r="I28" t="e">
        <v>#N/A</v>
      </c>
      <c r="J28" t="e">
        <v>#N/A</v>
      </c>
      <c r="K28" t="e">
        <v>#N/A</v>
      </c>
      <c r="L28" t="e">
        <v>#N/A</v>
      </c>
      <c r="M28" t="e">
        <v>#N/A</v>
      </c>
      <c r="N28" t="e">
        <v>#N/A</v>
      </c>
      <c r="O28" t="e">
        <v>#N/A</v>
      </c>
      <c r="P28" t="e">
        <v>#N/A</v>
      </c>
      <c r="R28" s="15">
        <f>D28/$B28</f>
        <v/>
      </c>
      <c r="S28" s="15">
        <f>E28/$B28</f>
        <v/>
      </c>
      <c r="T28" s="15">
        <f>F28/$B28</f>
        <v/>
      </c>
      <c r="U28" s="15">
        <f>G28/$B28</f>
        <v/>
      </c>
      <c r="V28" s="15">
        <f>H28/$B28</f>
        <v/>
      </c>
      <c r="W28" s="15">
        <f>I28/$B28</f>
        <v/>
      </c>
      <c r="X28" s="15">
        <f>J28/$B28</f>
        <v/>
      </c>
      <c r="Y28" s="15">
        <f>K28/$B28</f>
        <v/>
      </c>
      <c r="Z28" s="15">
        <f>L28/$B28</f>
        <v/>
      </c>
      <c r="AA28" s="15">
        <f>M28/$B28</f>
        <v/>
      </c>
      <c r="AB28" s="15">
        <f>N28/$B28</f>
        <v/>
      </c>
      <c r="AC28" s="15">
        <f>O28/$B28</f>
        <v/>
      </c>
      <c r="AD28" s="15">
        <f>(M28+N28+O28)/B28</f>
        <v/>
      </c>
      <c r="AE28" s="15">
        <f>(F28+I28+J28+K28+L28+M28+N28+O28)/$B28</f>
        <v/>
      </c>
      <c r="AF28" s="15">
        <f>P28/$B28</f>
        <v/>
      </c>
    </row>
    <row r="29">
      <c r="A29" s="16" t="n">
        <v>26</v>
      </c>
      <c r="B29" s="16" t="n">
        <v>1</v>
      </c>
      <c r="D29" t="e">
        <v>#N/A</v>
      </c>
      <c r="E29" t="e">
        <v>#N/A</v>
      </c>
      <c r="F29" t="e">
        <v>#N/A</v>
      </c>
      <c r="G29" t="e">
        <v>#N/A</v>
      </c>
      <c r="H29" t="e">
        <v>#N/A</v>
      </c>
      <c r="I29" t="e">
        <v>#N/A</v>
      </c>
      <c r="J29" t="e">
        <v>#N/A</v>
      </c>
      <c r="K29" t="e">
        <v>#N/A</v>
      </c>
      <c r="L29" t="e">
        <v>#N/A</v>
      </c>
      <c r="M29" t="e">
        <v>#N/A</v>
      </c>
      <c r="N29" t="e">
        <v>#N/A</v>
      </c>
      <c r="O29" t="e">
        <v>#N/A</v>
      </c>
      <c r="P29" t="e">
        <v>#N/A</v>
      </c>
      <c r="R29" s="15">
        <f>D29/$B29</f>
        <v/>
      </c>
      <c r="S29" s="15">
        <f>E29/$B29</f>
        <v/>
      </c>
      <c r="T29" s="15">
        <f>F29/$B29</f>
        <v/>
      </c>
      <c r="U29" s="15">
        <f>G29/$B29</f>
        <v/>
      </c>
      <c r="V29" s="15">
        <f>H29/$B29</f>
        <v/>
      </c>
      <c r="W29" s="15">
        <f>I29/$B29</f>
        <v/>
      </c>
      <c r="X29" s="15">
        <f>J29/$B29</f>
        <v/>
      </c>
      <c r="Y29" s="15">
        <f>K29/$B29</f>
        <v/>
      </c>
      <c r="Z29" s="15">
        <f>L29/$B29</f>
        <v/>
      </c>
      <c r="AA29" s="15">
        <f>M29/$B29</f>
        <v/>
      </c>
      <c r="AB29" s="15">
        <f>N29/$B29</f>
        <v/>
      </c>
      <c r="AC29" s="15">
        <f>O29/$B29</f>
        <v/>
      </c>
      <c r="AD29" s="15">
        <f>(M29+N29+O29)/B29</f>
        <v/>
      </c>
      <c r="AE29" s="15">
        <f>(F29+I29+J29+K29+L29+M29+N29+O29)/$B29</f>
        <v/>
      </c>
      <c r="AF29" s="15">
        <f>P29/$B29</f>
        <v/>
      </c>
    </row>
    <row r="30">
      <c r="A30" s="16" t="n">
        <v>27</v>
      </c>
      <c r="B30" s="16" t="n">
        <v>1</v>
      </c>
      <c r="D30" t="e">
        <v>#N/A</v>
      </c>
      <c r="E30" t="e">
        <v>#N/A</v>
      </c>
      <c r="F30" t="e">
        <v>#N/A</v>
      </c>
      <c r="G30" t="e">
        <v>#N/A</v>
      </c>
      <c r="H30" t="e">
        <v>#N/A</v>
      </c>
      <c r="I30" t="e">
        <v>#N/A</v>
      </c>
      <c r="J30" t="e">
        <v>#N/A</v>
      </c>
      <c r="K30" t="e">
        <v>#N/A</v>
      </c>
      <c r="L30" t="e">
        <v>#N/A</v>
      </c>
      <c r="M30" t="e">
        <v>#N/A</v>
      </c>
      <c r="N30" t="e">
        <v>#N/A</v>
      </c>
      <c r="O30" t="e">
        <v>#N/A</v>
      </c>
      <c r="P30" t="e">
        <v>#N/A</v>
      </c>
      <c r="R30" s="15">
        <f>D30/$B30</f>
        <v/>
      </c>
      <c r="S30" s="15">
        <f>E30/$B30</f>
        <v/>
      </c>
      <c r="T30" s="15">
        <f>F30/$B30</f>
        <v/>
      </c>
      <c r="U30" s="15">
        <f>G30/$B30</f>
        <v/>
      </c>
      <c r="V30" s="15">
        <f>H30/$B30</f>
        <v/>
      </c>
      <c r="W30" s="15">
        <f>I30/$B30</f>
        <v/>
      </c>
      <c r="X30" s="15">
        <f>J30/$B30</f>
        <v/>
      </c>
      <c r="Y30" s="15">
        <f>K30/$B30</f>
        <v/>
      </c>
      <c r="Z30" s="15">
        <f>L30/$B30</f>
        <v/>
      </c>
      <c r="AA30" s="15">
        <f>M30/$B30</f>
        <v/>
      </c>
      <c r="AB30" s="15">
        <f>N30/$B30</f>
        <v/>
      </c>
      <c r="AC30" s="15">
        <f>O30/$B30</f>
        <v/>
      </c>
      <c r="AD30" s="15">
        <f>(M30+N30+O30)/B30</f>
        <v/>
      </c>
      <c r="AE30" s="15">
        <f>(F30+I30+J30+K30+L30+M30+N30+O30)/$B30</f>
        <v/>
      </c>
      <c r="AF30" s="15">
        <f>P30/$B30</f>
        <v/>
      </c>
    </row>
    <row r="31">
      <c r="A31" s="16" t="n">
        <v>28</v>
      </c>
      <c r="B31" s="16" t="n">
        <v>1</v>
      </c>
      <c r="D31" t="e">
        <v>#N/A</v>
      </c>
      <c r="E31" t="e">
        <v>#N/A</v>
      </c>
      <c r="F31" t="e">
        <v>#N/A</v>
      </c>
      <c r="G31" t="e">
        <v>#N/A</v>
      </c>
      <c r="H31" t="e">
        <v>#N/A</v>
      </c>
      <c r="I31" t="e">
        <v>#N/A</v>
      </c>
      <c r="J31" t="e">
        <v>#N/A</v>
      </c>
      <c r="K31" t="e">
        <v>#N/A</v>
      </c>
      <c r="L31" t="e">
        <v>#N/A</v>
      </c>
      <c r="M31" t="e">
        <v>#N/A</v>
      </c>
      <c r="N31" t="e">
        <v>#N/A</v>
      </c>
      <c r="O31" t="e">
        <v>#N/A</v>
      </c>
      <c r="P31" t="e">
        <v>#N/A</v>
      </c>
      <c r="R31" s="15">
        <f>D31/$B31</f>
        <v/>
      </c>
      <c r="S31" s="15">
        <f>E31/$B31</f>
        <v/>
      </c>
      <c r="T31" s="15">
        <f>F31/$B31</f>
        <v/>
      </c>
      <c r="U31" s="15">
        <f>G31/$B31</f>
        <v/>
      </c>
      <c r="V31" s="15">
        <f>H31/$B31</f>
        <v/>
      </c>
      <c r="W31" s="15">
        <f>I31/$B31</f>
        <v/>
      </c>
      <c r="X31" s="15">
        <f>J31/$B31</f>
        <v/>
      </c>
      <c r="Y31" s="15">
        <f>K31/$B31</f>
        <v/>
      </c>
      <c r="Z31" s="15">
        <f>L31/$B31</f>
        <v/>
      </c>
      <c r="AA31" s="15">
        <f>M31/$B31</f>
        <v/>
      </c>
      <c r="AB31" s="15">
        <f>N31/$B31</f>
        <v/>
      </c>
      <c r="AC31" s="15">
        <f>O31/$B31</f>
        <v/>
      </c>
      <c r="AD31" s="15">
        <f>(M31+N31+O31)/B31</f>
        <v/>
      </c>
      <c r="AE31" s="15">
        <f>(F31+I31+J31+K31+L31+M31+N31+O31)/$B31</f>
        <v/>
      </c>
      <c r="AF31" s="15">
        <f>P31/$B31</f>
        <v/>
      </c>
    </row>
    <row r="32">
      <c r="A32" s="16" t="n">
        <v>29</v>
      </c>
      <c r="B32" s="16" t="n">
        <v>1</v>
      </c>
      <c r="D32" t="e">
        <v>#N/A</v>
      </c>
      <c r="E32" t="e">
        <v>#N/A</v>
      </c>
      <c r="F32" t="e">
        <v>#N/A</v>
      </c>
      <c r="G32" t="e">
        <v>#N/A</v>
      </c>
      <c r="H32" t="e">
        <v>#N/A</v>
      </c>
      <c r="I32" t="e">
        <v>#N/A</v>
      </c>
      <c r="J32" t="e">
        <v>#N/A</v>
      </c>
      <c r="K32" t="e">
        <v>#N/A</v>
      </c>
      <c r="L32" t="e">
        <v>#N/A</v>
      </c>
      <c r="M32" t="e">
        <v>#N/A</v>
      </c>
      <c r="N32" t="e">
        <v>#N/A</v>
      </c>
      <c r="O32" t="e">
        <v>#N/A</v>
      </c>
      <c r="P32" t="e">
        <v>#N/A</v>
      </c>
      <c r="R32" s="15">
        <f>D32/$B32</f>
        <v/>
      </c>
      <c r="S32" s="15">
        <f>E32/$B32</f>
        <v/>
      </c>
      <c r="T32" s="15">
        <f>F32/$B32</f>
        <v/>
      </c>
      <c r="U32" s="15">
        <f>G32/$B32</f>
        <v/>
      </c>
      <c r="V32" s="15">
        <f>H32/$B32</f>
        <v/>
      </c>
      <c r="W32" s="15">
        <f>I32/$B32</f>
        <v/>
      </c>
      <c r="X32" s="15">
        <f>J32/$B32</f>
        <v/>
      </c>
      <c r="Y32" s="15">
        <f>K32/$B32</f>
        <v/>
      </c>
      <c r="Z32" s="15">
        <f>L32/$B32</f>
        <v/>
      </c>
      <c r="AA32" s="15">
        <f>M32/$B32</f>
        <v/>
      </c>
      <c r="AB32" s="15">
        <f>N32/$B32</f>
        <v/>
      </c>
      <c r="AC32" s="15">
        <f>O32/$B32</f>
        <v/>
      </c>
      <c r="AD32" s="15">
        <f>(M32+N32+O32)/B32</f>
        <v/>
      </c>
      <c r="AE32" s="15">
        <f>(F32+I32+J32+K32+L32+M32+N32+O32)/$B32</f>
        <v/>
      </c>
      <c r="AF32" s="15">
        <f>P32/$B32</f>
        <v/>
      </c>
    </row>
    <row r="33">
      <c r="A33" s="16" t="n">
        <v>30</v>
      </c>
      <c r="B33" s="16" t="n">
        <v>1</v>
      </c>
      <c r="D33" t="e">
        <v>#N/A</v>
      </c>
      <c r="E33" t="e">
        <v>#N/A</v>
      </c>
      <c r="F33" t="e">
        <v>#N/A</v>
      </c>
      <c r="G33" t="e">
        <v>#N/A</v>
      </c>
      <c r="H33" t="e">
        <v>#N/A</v>
      </c>
      <c r="I33" t="e">
        <v>#N/A</v>
      </c>
      <c r="J33" t="e">
        <v>#N/A</v>
      </c>
      <c r="K33" t="e">
        <v>#N/A</v>
      </c>
      <c r="L33" t="e">
        <v>#N/A</v>
      </c>
      <c r="M33" t="e">
        <v>#N/A</v>
      </c>
      <c r="N33" t="e">
        <v>#N/A</v>
      </c>
      <c r="O33" t="e">
        <v>#N/A</v>
      </c>
      <c r="P33" t="e">
        <v>#N/A</v>
      </c>
      <c r="R33" s="15">
        <f>D33/$B33</f>
        <v/>
      </c>
      <c r="S33" s="15">
        <f>E33/$B33</f>
        <v/>
      </c>
      <c r="T33" s="15">
        <f>F33/$B33</f>
        <v/>
      </c>
      <c r="U33" s="15">
        <f>G33/$B33</f>
        <v/>
      </c>
      <c r="V33" s="15">
        <f>H33/$B33</f>
        <v/>
      </c>
      <c r="W33" s="15">
        <f>I33/$B33</f>
        <v/>
      </c>
      <c r="X33" s="15">
        <f>J33/$B33</f>
        <v/>
      </c>
      <c r="Y33" s="15">
        <f>K33/$B33</f>
        <v/>
      </c>
      <c r="Z33" s="15">
        <f>L33/$B33</f>
        <v/>
      </c>
      <c r="AA33" s="15">
        <f>M33/$B33</f>
        <v/>
      </c>
      <c r="AB33" s="15">
        <f>N33/$B33</f>
        <v/>
      </c>
      <c r="AC33" s="15">
        <f>O33/$B33</f>
        <v/>
      </c>
      <c r="AD33" s="15">
        <f>(M33+N33+O33)/B33</f>
        <v/>
      </c>
      <c r="AE33" s="15">
        <f>(F33+I33+J33+K33+L33+M33+N33+O33)/$B33</f>
        <v/>
      </c>
      <c r="AF33" s="15">
        <f>P33/$B33</f>
        <v/>
      </c>
    </row>
    <row r="34">
      <c r="A34" s="16" t="n">
        <v>31</v>
      </c>
      <c r="B34" s="16" t="n">
        <v>1</v>
      </c>
      <c r="D34" t="e">
        <v>#N/A</v>
      </c>
      <c r="E34" t="e">
        <v>#N/A</v>
      </c>
      <c r="F34" t="e">
        <v>#N/A</v>
      </c>
      <c r="G34" t="e">
        <v>#N/A</v>
      </c>
      <c r="H34" t="e">
        <v>#N/A</v>
      </c>
      <c r="I34" t="e">
        <v>#N/A</v>
      </c>
      <c r="J34" t="e">
        <v>#N/A</v>
      </c>
      <c r="K34" t="e">
        <v>#N/A</v>
      </c>
      <c r="L34" t="e">
        <v>#N/A</v>
      </c>
      <c r="M34" t="e">
        <v>#N/A</v>
      </c>
      <c r="N34" t="e">
        <v>#N/A</v>
      </c>
      <c r="O34" t="e">
        <v>#N/A</v>
      </c>
      <c r="P34" t="e">
        <v>#N/A</v>
      </c>
      <c r="R34" s="15">
        <f>D34/$B34</f>
        <v/>
      </c>
      <c r="S34" s="15">
        <f>E34/$B34</f>
        <v/>
      </c>
      <c r="T34" s="15">
        <f>F34/$B34</f>
        <v/>
      </c>
      <c r="U34" s="15">
        <f>G34/$B34</f>
        <v/>
      </c>
      <c r="V34" s="15">
        <f>H34/$B34</f>
        <v/>
      </c>
      <c r="W34" s="15">
        <f>I34/$B34</f>
        <v/>
      </c>
      <c r="X34" s="15">
        <f>J34/$B34</f>
        <v/>
      </c>
      <c r="Y34" s="15">
        <f>K34/$B34</f>
        <v/>
      </c>
      <c r="Z34" s="15">
        <f>L34/$B34</f>
        <v/>
      </c>
      <c r="AA34" s="15">
        <f>M34/$B34</f>
        <v/>
      </c>
      <c r="AB34" s="15">
        <f>N34/$B34</f>
        <v/>
      </c>
      <c r="AC34" s="15">
        <f>O34/$B34</f>
        <v/>
      </c>
      <c r="AD34" s="15">
        <f>(M34+N34+O34)/B34</f>
        <v/>
      </c>
      <c r="AE34" s="15">
        <f>(F34+I34+J34+K34+L34+M34+N34+O34)/$B34</f>
        <v/>
      </c>
      <c r="AF34" s="15">
        <f>P34/$B34</f>
        <v/>
      </c>
    </row>
    <row r="35">
      <c r="A35" s="16" t="n">
        <v>32</v>
      </c>
      <c r="B35" s="16" t="n">
        <v>1</v>
      </c>
      <c r="D35" t="e">
        <v>#N/A</v>
      </c>
      <c r="E35" t="e">
        <v>#N/A</v>
      </c>
      <c r="F35" t="e">
        <v>#N/A</v>
      </c>
      <c r="G35" t="e">
        <v>#N/A</v>
      </c>
      <c r="H35" t="e">
        <v>#N/A</v>
      </c>
      <c r="I35" t="e">
        <v>#N/A</v>
      </c>
      <c r="J35" t="e">
        <v>#N/A</v>
      </c>
      <c r="K35" t="e">
        <v>#N/A</v>
      </c>
      <c r="L35" t="e">
        <v>#N/A</v>
      </c>
      <c r="M35" t="e">
        <v>#N/A</v>
      </c>
      <c r="N35" t="e">
        <v>#N/A</v>
      </c>
      <c r="O35" t="e">
        <v>#N/A</v>
      </c>
      <c r="P35" t="e">
        <v>#N/A</v>
      </c>
      <c r="R35" s="15">
        <f>D35/$B35</f>
        <v/>
      </c>
      <c r="S35" s="15">
        <f>E35/$B35</f>
        <v/>
      </c>
      <c r="T35" s="15">
        <f>F35/$B35</f>
        <v/>
      </c>
      <c r="U35" s="15">
        <f>G35/$B35</f>
        <v/>
      </c>
      <c r="V35" s="15">
        <f>H35/$B35</f>
        <v/>
      </c>
      <c r="W35" s="15">
        <f>I35/$B35</f>
        <v/>
      </c>
      <c r="X35" s="15">
        <f>J35/$B35</f>
        <v/>
      </c>
      <c r="Y35" s="15">
        <f>K35/$B35</f>
        <v/>
      </c>
      <c r="Z35" s="15">
        <f>L35/$B35</f>
        <v/>
      </c>
      <c r="AA35" s="15">
        <f>M35/$B35</f>
        <v/>
      </c>
      <c r="AB35" s="15">
        <f>N35/$B35</f>
        <v/>
      </c>
      <c r="AC35" s="15">
        <f>O35/$B35</f>
        <v/>
      </c>
      <c r="AD35" s="15">
        <f>(M35+N35+O35)/B35</f>
        <v/>
      </c>
      <c r="AE35" s="15">
        <f>(F35+I35+J35+K35+L35+M35+N35+O35)/$B35</f>
        <v/>
      </c>
      <c r="AF35" s="15">
        <f>P35/$B35</f>
        <v/>
      </c>
    </row>
    <row r="36">
      <c r="A36" s="16" t="n">
        <v>33</v>
      </c>
      <c r="B36" s="16" t="n">
        <v>1</v>
      </c>
      <c r="D36" t="e">
        <v>#N/A</v>
      </c>
      <c r="E36" t="e">
        <v>#N/A</v>
      </c>
      <c r="F36" t="e">
        <v>#N/A</v>
      </c>
      <c r="G36" t="e">
        <v>#N/A</v>
      </c>
      <c r="H36" t="e">
        <v>#N/A</v>
      </c>
      <c r="I36" t="e">
        <v>#N/A</v>
      </c>
      <c r="J36" t="e">
        <v>#N/A</v>
      </c>
      <c r="K36" t="e">
        <v>#N/A</v>
      </c>
      <c r="L36" t="e">
        <v>#N/A</v>
      </c>
      <c r="M36" t="e">
        <v>#N/A</v>
      </c>
      <c r="N36" t="e">
        <v>#N/A</v>
      </c>
      <c r="O36" t="e">
        <v>#N/A</v>
      </c>
      <c r="P36" t="e">
        <v>#N/A</v>
      </c>
      <c r="R36" s="15">
        <f>D36/$B36</f>
        <v/>
      </c>
      <c r="S36" s="15">
        <f>E36/$B36</f>
        <v/>
      </c>
      <c r="T36" s="15">
        <f>F36/$B36</f>
        <v/>
      </c>
      <c r="U36" s="15">
        <f>G36/$B36</f>
        <v/>
      </c>
      <c r="V36" s="15">
        <f>H36/$B36</f>
        <v/>
      </c>
      <c r="W36" s="15">
        <f>I36/$B36</f>
        <v/>
      </c>
      <c r="X36" s="15">
        <f>J36/$B36</f>
        <v/>
      </c>
      <c r="Y36" s="15">
        <f>K36/$B36</f>
        <v/>
      </c>
      <c r="Z36" s="15">
        <f>L36/$B36</f>
        <v/>
      </c>
      <c r="AA36" s="15">
        <f>M36/$B36</f>
        <v/>
      </c>
      <c r="AB36" s="15">
        <f>N36/$B36</f>
        <v/>
      </c>
      <c r="AC36" s="15">
        <f>O36/$B36</f>
        <v/>
      </c>
      <c r="AD36" s="15">
        <f>(M36+N36+O36)/B36</f>
        <v/>
      </c>
      <c r="AE36" s="15">
        <f>(F36+I36+J36+K36+L36+M36+N36+O36)/$B36</f>
        <v/>
      </c>
      <c r="AF36" s="15">
        <f>P36/$B36</f>
        <v/>
      </c>
    </row>
    <row r="37">
      <c r="A37" s="16" t="n">
        <v>34</v>
      </c>
      <c r="B37" s="16" t="n">
        <v>1</v>
      </c>
      <c r="D37" t="e">
        <v>#N/A</v>
      </c>
      <c r="E37" t="e">
        <v>#N/A</v>
      </c>
      <c r="F37" t="e">
        <v>#N/A</v>
      </c>
      <c r="G37" t="e">
        <v>#N/A</v>
      </c>
      <c r="H37" t="e">
        <v>#N/A</v>
      </c>
      <c r="I37" t="e">
        <v>#N/A</v>
      </c>
      <c r="J37" t="e">
        <v>#N/A</v>
      </c>
      <c r="K37" t="e">
        <v>#N/A</v>
      </c>
      <c r="L37" t="e">
        <v>#N/A</v>
      </c>
      <c r="M37" t="e">
        <v>#N/A</v>
      </c>
      <c r="N37" t="e">
        <v>#N/A</v>
      </c>
      <c r="O37" t="e">
        <v>#N/A</v>
      </c>
      <c r="P37" t="e">
        <v>#N/A</v>
      </c>
      <c r="R37" s="15">
        <f>D37/$B37</f>
        <v/>
      </c>
      <c r="S37" s="15">
        <f>E37/$B37</f>
        <v/>
      </c>
      <c r="T37" s="15">
        <f>F37/$B37</f>
        <v/>
      </c>
      <c r="U37" s="15">
        <f>G37/$B37</f>
        <v/>
      </c>
      <c r="V37" s="15">
        <f>H37/$B37</f>
        <v/>
      </c>
      <c r="W37" s="15">
        <f>I37/$B37</f>
        <v/>
      </c>
      <c r="X37" s="15">
        <f>J37/$B37</f>
        <v/>
      </c>
      <c r="Y37" s="15">
        <f>K37/$B37</f>
        <v/>
      </c>
      <c r="Z37" s="15">
        <f>L37/$B37</f>
        <v/>
      </c>
      <c r="AA37" s="15">
        <f>M37/$B37</f>
        <v/>
      </c>
      <c r="AB37" s="15">
        <f>N37/$B37</f>
        <v/>
      </c>
      <c r="AC37" s="15">
        <f>O37/$B37</f>
        <v/>
      </c>
      <c r="AD37" s="15">
        <f>(M37+N37+O37)/B37</f>
        <v/>
      </c>
      <c r="AE37" s="15">
        <f>(F37+I37+J37+K37+L37+M37+N37+O37)/$B37</f>
        <v/>
      </c>
      <c r="AF37" s="15">
        <f>P37/$B37</f>
        <v/>
      </c>
    </row>
    <row r="38">
      <c r="A38" s="16" t="n">
        <v>35</v>
      </c>
      <c r="B38" s="16" t="n">
        <v>1</v>
      </c>
      <c r="D38" t="e">
        <v>#N/A</v>
      </c>
      <c r="E38" t="e">
        <v>#N/A</v>
      </c>
      <c r="F38" t="e">
        <v>#N/A</v>
      </c>
      <c r="G38" t="e">
        <v>#N/A</v>
      </c>
      <c r="H38" t="e">
        <v>#N/A</v>
      </c>
      <c r="I38" t="e">
        <v>#N/A</v>
      </c>
      <c r="J38" t="e">
        <v>#N/A</v>
      </c>
      <c r="K38" t="e">
        <v>#N/A</v>
      </c>
      <c r="L38" t="e">
        <v>#N/A</v>
      </c>
      <c r="M38" t="e">
        <v>#N/A</v>
      </c>
      <c r="N38" t="e">
        <v>#N/A</v>
      </c>
      <c r="O38" t="e">
        <v>#N/A</v>
      </c>
      <c r="P38" t="e">
        <v>#N/A</v>
      </c>
      <c r="R38" s="15">
        <f>D38/$B38</f>
        <v/>
      </c>
      <c r="S38" s="15">
        <f>E38/$B38</f>
        <v/>
      </c>
      <c r="T38" s="15">
        <f>F38/$B38</f>
        <v/>
      </c>
      <c r="U38" s="15">
        <f>G38/$B38</f>
        <v/>
      </c>
      <c r="V38" s="15">
        <f>H38/$B38</f>
        <v/>
      </c>
      <c r="W38" s="15">
        <f>I38/$B38</f>
        <v/>
      </c>
      <c r="X38" s="15">
        <f>J38/$B38</f>
        <v/>
      </c>
      <c r="Y38" s="15">
        <f>K38/$B38</f>
        <v/>
      </c>
      <c r="Z38" s="15">
        <f>L38/$B38</f>
        <v/>
      </c>
      <c r="AA38" s="15">
        <f>M38/$B38</f>
        <v/>
      </c>
      <c r="AB38" s="15">
        <f>N38/$B38</f>
        <v/>
      </c>
      <c r="AC38" s="15">
        <f>O38/$B38</f>
        <v/>
      </c>
      <c r="AD38" s="15">
        <f>(M38+N38+O38)/B38</f>
        <v/>
      </c>
      <c r="AE38" s="15">
        <f>(F38+I38+J38+K38+L38+M38+N38+O38)/$B38</f>
        <v/>
      </c>
      <c r="AF38" s="15">
        <f>P38/$B38</f>
        <v/>
      </c>
    </row>
    <row r="39">
      <c r="A39" s="16" t="n">
        <v>36</v>
      </c>
      <c r="B39" s="16" t="n">
        <v>1</v>
      </c>
      <c r="D39" t="e">
        <v>#N/A</v>
      </c>
      <c r="E39" t="e">
        <v>#N/A</v>
      </c>
      <c r="F39" t="e">
        <v>#N/A</v>
      </c>
      <c r="G39" t="e">
        <v>#N/A</v>
      </c>
      <c r="H39" t="e">
        <v>#N/A</v>
      </c>
      <c r="I39" t="e">
        <v>#N/A</v>
      </c>
      <c r="J39" t="e">
        <v>#N/A</v>
      </c>
      <c r="K39" t="e">
        <v>#N/A</v>
      </c>
      <c r="L39" t="e">
        <v>#N/A</v>
      </c>
      <c r="M39" t="e">
        <v>#N/A</v>
      </c>
      <c r="N39" t="e">
        <v>#N/A</v>
      </c>
      <c r="O39" t="e">
        <v>#N/A</v>
      </c>
      <c r="P39" t="e">
        <v>#N/A</v>
      </c>
      <c r="R39" s="15">
        <f>D39/$B39</f>
        <v/>
      </c>
      <c r="S39" s="15">
        <f>E39/$B39</f>
        <v/>
      </c>
      <c r="T39" s="15">
        <f>F39/$B39</f>
        <v/>
      </c>
      <c r="U39" s="15">
        <f>G39/$B39</f>
        <v/>
      </c>
      <c r="V39" s="15">
        <f>H39/$B39</f>
        <v/>
      </c>
      <c r="W39" s="15">
        <f>I39/$B39</f>
        <v/>
      </c>
      <c r="X39" s="15">
        <f>J39/$B39</f>
        <v/>
      </c>
      <c r="Y39" s="15">
        <f>K39/$B39</f>
        <v/>
      </c>
      <c r="Z39" s="15">
        <f>L39/$B39</f>
        <v/>
      </c>
      <c r="AA39" s="15">
        <f>M39/$B39</f>
        <v/>
      </c>
      <c r="AB39" s="15">
        <f>N39/$B39</f>
        <v/>
      </c>
      <c r="AC39" s="15">
        <f>O39/$B39</f>
        <v/>
      </c>
      <c r="AD39" s="15">
        <f>(M39+N39+O39)/B39</f>
        <v/>
      </c>
      <c r="AE39" s="15">
        <f>(F39+I39+J39+K39+L39+M39+N39+O39)/$B39</f>
        <v/>
      </c>
      <c r="AF39" s="15">
        <f>P39/$B39</f>
        <v/>
      </c>
    </row>
    <row r="40">
      <c r="A40" s="16" t="n">
        <v>37</v>
      </c>
      <c r="B40" s="16" t="n">
        <v>1</v>
      </c>
      <c r="D40" t="e">
        <v>#N/A</v>
      </c>
      <c r="E40" t="e">
        <v>#N/A</v>
      </c>
      <c r="F40" t="e">
        <v>#N/A</v>
      </c>
      <c r="G40" t="e">
        <v>#N/A</v>
      </c>
      <c r="H40" t="e">
        <v>#N/A</v>
      </c>
      <c r="I40" t="e">
        <v>#N/A</v>
      </c>
      <c r="J40" t="e">
        <v>#N/A</v>
      </c>
      <c r="K40" t="e">
        <v>#N/A</v>
      </c>
      <c r="L40" t="e">
        <v>#N/A</v>
      </c>
      <c r="M40" t="e">
        <v>#N/A</v>
      </c>
      <c r="N40" t="e">
        <v>#N/A</v>
      </c>
      <c r="O40" t="e">
        <v>#N/A</v>
      </c>
      <c r="P40" t="e">
        <v>#N/A</v>
      </c>
      <c r="R40" s="15">
        <f>D40/$B40</f>
        <v/>
      </c>
      <c r="S40" s="15">
        <f>E40/$B40</f>
        <v/>
      </c>
      <c r="T40" s="15">
        <f>F40/$B40</f>
        <v/>
      </c>
      <c r="U40" s="15">
        <f>G40/$B40</f>
        <v/>
      </c>
      <c r="V40" s="15">
        <f>H40/$B40</f>
        <v/>
      </c>
      <c r="W40" s="15">
        <f>I40/$B40</f>
        <v/>
      </c>
      <c r="X40" s="15">
        <f>J40/$B40</f>
        <v/>
      </c>
      <c r="Y40" s="15">
        <f>K40/$B40</f>
        <v/>
      </c>
      <c r="Z40" s="15">
        <f>L40/$B40</f>
        <v/>
      </c>
      <c r="AA40" s="15">
        <f>M40/$B40</f>
        <v/>
      </c>
      <c r="AB40" s="15">
        <f>N40/$B40</f>
        <v/>
      </c>
      <c r="AC40" s="15">
        <f>O40/$B40</f>
        <v/>
      </c>
      <c r="AD40" s="15">
        <f>(M40+N40+O40)/B40</f>
        <v/>
      </c>
      <c r="AE40" s="15">
        <f>(F40+I40+J40+K40+L40+M40+N40+O40)/$B40</f>
        <v/>
      </c>
      <c r="AF40" s="15">
        <f>P40/$B40</f>
        <v/>
      </c>
    </row>
    <row r="41">
      <c r="A41" s="16" t="n">
        <v>38</v>
      </c>
      <c r="B41" s="16" t="n">
        <v>1</v>
      </c>
      <c r="D41" t="e">
        <v>#N/A</v>
      </c>
      <c r="E41" t="e">
        <v>#N/A</v>
      </c>
      <c r="F41" t="e">
        <v>#N/A</v>
      </c>
      <c r="G41" t="e">
        <v>#N/A</v>
      </c>
      <c r="H41" t="e">
        <v>#N/A</v>
      </c>
      <c r="I41" t="e">
        <v>#N/A</v>
      </c>
      <c r="J41" t="e">
        <v>#N/A</v>
      </c>
      <c r="K41" t="e">
        <v>#N/A</v>
      </c>
      <c r="L41" t="e">
        <v>#N/A</v>
      </c>
      <c r="M41" t="e">
        <v>#N/A</v>
      </c>
      <c r="N41" t="e">
        <v>#N/A</v>
      </c>
      <c r="O41" t="e">
        <v>#N/A</v>
      </c>
      <c r="P41" t="e">
        <v>#N/A</v>
      </c>
      <c r="R41" s="15">
        <f>D41/$B41</f>
        <v/>
      </c>
      <c r="S41" s="15">
        <f>E41/$B41</f>
        <v/>
      </c>
      <c r="T41" s="15">
        <f>F41/$B41</f>
        <v/>
      </c>
      <c r="U41" s="15">
        <f>G41/$B41</f>
        <v/>
      </c>
      <c r="V41" s="15">
        <f>H41/$B41</f>
        <v/>
      </c>
      <c r="W41" s="15">
        <f>I41/$B41</f>
        <v/>
      </c>
      <c r="X41" s="15">
        <f>J41/$B41</f>
        <v/>
      </c>
      <c r="Y41" s="15">
        <f>K41/$B41</f>
        <v/>
      </c>
      <c r="Z41" s="15">
        <f>L41/$B41</f>
        <v/>
      </c>
      <c r="AA41" s="15">
        <f>M41/$B41</f>
        <v/>
      </c>
      <c r="AB41" s="15">
        <f>N41/$B41</f>
        <v/>
      </c>
      <c r="AC41" s="15">
        <f>O41/$B41</f>
        <v/>
      </c>
      <c r="AD41" s="15">
        <f>(M41+N41+O41)/B41</f>
        <v/>
      </c>
      <c r="AE41" s="15">
        <f>(F41+I41+J41+K41+L41+M41+N41+O41)/$B41</f>
        <v/>
      </c>
      <c r="AF41" s="15">
        <f>P41/$B41</f>
        <v/>
      </c>
    </row>
    <row r="42">
      <c r="A42" s="16" t="n">
        <v>39</v>
      </c>
      <c r="B42" s="16" t="n">
        <v>1</v>
      </c>
      <c r="D42" t="e">
        <v>#N/A</v>
      </c>
      <c r="E42" t="e">
        <v>#N/A</v>
      </c>
      <c r="F42" t="e">
        <v>#N/A</v>
      </c>
      <c r="G42" t="e">
        <v>#N/A</v>
      </c>
      <c r="H42" t="e">
        <v>#N/A</v>
      </c>
      <c r="I42" t="e">
        <v>#N/A</v>
      </c>
      <c r="J42" t="e">
        <v>#N/A</v>
      </c>
      <c r="K42" t="e">
        <v>#N/A</v>
      </c>
      <c r="L42" t="e">
        <v>#N/A</v>
      </c>
      <c r="M42" t="e">
        <v>#N/A</v>
      </c>
      <c r="N42" t="e">
        <v>#N/A</v>
      </c>
      <c r="O42" t="e">
        <v>#N/A</v>
      </c>
      <c r="P42" t="e">
        <v>#N/A</v>
      </c>
      <c r="R42" s="15">
        <f>D42/$B42</f>
        <v/>
      </c>
      <c r="S42" s="15">
        <f>E42/$B42</f>
        <v/>
      </c>
      <c r="T42" s="15">
        <f>F42/$B42</f>
        <v/>
      </c>
      <c r="U42" s="15">
        <f>G42/$B42</f>
        <v/>
      </c>
      <c r="V42" s="15">
        <f>H42/$B42</f>
        <v/>
      </c>
      <c r="W42" s="15">
        <f>I42/$B42</f>
        <v/>
      </c>
      <c r="X42" s="15">
        <f>J42/$B42</f>
        <v/>
      </c>
      <c r="Y42" s="15">
        <f>K42/$B42</f>
        <v/>
      </c>
      <c r="Z42" s="15">
        <f>L42/$B42</f>
        <v/>
      </c>
      <c r="AA42" s="15">
        <f>M42/$B42</f>
        <v/>
      </c>
      <c r="AB42" s="15">
        <f>N42/$B42</f>
        <v/>
      </c>
      <c r="AC42" s="15">
        <f>O42/$B42</f>
        <v/>
      </c>
      <c r="AD42" s="15">
        <f>(M42+N42+O42)/B42</f>
        <v/>
      </c>
      <c r="AE42" s="15">
        <f>(F42+I42+J42+K42+L42+M42+N42+O42)/$B42</f>
        <v/>
      </c>
      <c r="AF42" s="15">
        <f>P42/$B42</f>
        <v/>
      </c>
    </row>
    <row r="43">
      <c r="A43" s="16" t="n">
        <v>40</v>
      </c>
      <c r="B43" s="16" t="n">
        <v>1</v>
      </c>
      <c r="D43" t="e">
        <v>#N/A</v>
      </c>
      <c r="E43" t="e">
        <v>#N/A</v>
      </c>
      <c r="F43" t="e">
        <v>#N/A</v>
      </c>
      <c r="G43" t="e">
        <v>#N/A</v>
      </c>
      <c r="H43" t="e">
        <v>#N/A</v>
      </c>
      <c r="I43" t="e">
        <v>#N/A</v>
      </c>
      <c r="J43" t="e">
        <v>#N/A</v>
      </c>
      <c r="K43" t="e">
        <v>#N/A</v>
      </c>
      <c r="L43" t="e">
        <v>#N/A</v>
      </c>
      <c r="M43" t="e">
        <v>#N/A</v>
      </c>
      <c r="N43" t="e">
        <v>#N/A</v>
      </c>
      <c r="O43" t="e">
        <v>#N/A</v>
      </c>
      <c r="P43" t="e">
        <v>#N/A</v>
      </c>
      <c r="R43" s="15">
        <f>D43/$B43</f>
        <v/>
      </c>
      <c r="S43" s="15">
        <f>E43/$B43</f>
        <v/>
      </c>
      <c r="T43" s="15">
        <f>F43/$B43</f>
        <v/>
      </c>
      <c r="U43" s="15">
        <f>G43/$B43</f>
        <v/>
      </c>
      <c r="V43" s="15">
        <f>H43/$B43</f>
        <v/>
      </c>
      <c r="W43" s="15">
        <f>I43/$B43</f>
        <v/>
      </c>
      <c r="X43" s="15">
        <f>J43/$B43</f>
        <v/>
      </c>
      <c r="Y43" s="15">
        <f>K43/$B43</f>
        <v/>
      </c>
      <c r="Z43" s="15">
        <f>L43/$B43</f>
        <v/>
      </c>
      <c r="AA43" s="15">
        <f>M43/$B43</f>
        <v/>
      </c>
      <c r="AB43" s="15">
        <f>N43/$B43</f>
        <v/>
      </c>
      <c r="AC43" s="15">
        <f>O43/$B43</f>
        <v/>
      </c>
      <c r="AD43" s="15">
        <f>(M43+N43+O43)/B43</f>
        <v/>
      </c>
      <c r="AE43" s="15">
        <f>(F43+I43+J43+K43+L43+M43+N43+O43)/$B43</f>
        <v/>
      </c>
      <c r="AF43" s="15">
        <f>P43/$B43</f>
        <v/>
      </c>
    </row>
    <row r="44">
      <c r="A44" s="16" t="n">
        <v>41</v>
      </c>
      <c r="B44" s="16" t="n">
        <v>1</v>
      </c>
      <c r="D44" t="e">
        <v>#N/A</v>
      </c>
      <c r="E44" t="e">
        <v>#N/A</v>
      </c>
      <c r="F44" t="e">
        <v>#N/A</v>
      </c>
      <c r="G44" t="e">
        <v>#N/A</v>
      </c>
      <c r="H44" t="e">
        <v>#N/A</v>
      </c>
      <c r="I44" t="e">
        <v>#N/A</v>
      </c>
      <c r="J44" t="e">
        <v>#N/A</v>
      </c>
      <c r="K44" t="e">
        <v>#N/A</v>
      </c>
      <c r="L44" t="e">
        <v>#N/A</v>
      </c>
      <c r="M44" t="e">
        <v>#N/A</v>
      </c>
      <c r="N44" t="e">
        <v>#N/A</v>
      </c>
      <c r="O44" t="e">
        <v>#N/A</v>
      </c>
      <c r="P44" t="e">
        <v>#N/A</v>
      </c>
      <c r="R44" s="15">
        <f>D44/$B44</f>
        <v/>
      </c>
      <c r="S44" s="15">
        <f>E44/$B44</f>
        <v/>
      </c>
      <c r="T44" s="15">
        <f>F44/$B44</f>
        <v/>
      </c>
      <c r="U44" s="15">
        <f>G44/$B44</f>
        <v/>
      </c>
      <c r="V44" s="15">
        <f>H44/$B44</f>
        <v/>
      </c>
      <c r="W44" s="15">
        <f>I44/$B44</f>
        <v/>
      </c>
      <c r="X44" s="15">
        <f>J44/$B44</f>
        <v/>
      </c>
      <c r="Y44" s="15">
        <f>K44/$B44</f>
        <v/>
      </c>
      <c r="Z44" s="15">
        <f>L44/$B44</f>
        <v/>
      </c>
      <c r="AA44" s="15">
        <f>M44/$B44</f>
        <v/>
      </c>
      <c r="AB44" s="15">
        <f>N44/$B44</f>
        <v/>
      </c>
      <c r="AC44" s="15">
        <f>O44/$B44</f>
        <v/>
      </c>
      <c r="AD44" s="15">
        <f>(M44+N44+O44)/B44</f>
        <v/>
      </c>
      <c r="AE44" s="15">
        <f>(F44+I44+J44+K44+L44+M44+N44+O44)/$B44</f>
        <v/>
      </c>
      <c r="AF44" s="15">
        <f>P44/$B44</f>
        <v/>
      </c>
    </row>
    <row r="45">
      <c r="A45" s="16" t="n">
        <v>42</v>
      </c>
      <c r="B45" s="16" t="n">
        <v>1</v>
      </c>
      <c r="D45" t="e">
        <v>#N/A</v>
      </c>
      <c r="E45" t="e">
        <v>#N/A</v>
      </c>
      <c r="F45" t="e">
        <v>#N/A</v>
      </c>
      <c r="G45" t="e">
        <v>#N/A</v>
      </c>
      <c r="H45" t="e">
        <v>#N/A</v>
      </c>
      <c r="I45" t="e">
        <v>#N/A</v>
      </c>
      <c r="J45" t="e">
        <v>#N/A</v>
      </c>
      <c r="K45" t="e">
        <v>#N/A</v>
      </c>
      <c r="L45" t="e">
        <v>#N/A</v>
      </c>
      <c r="M45" t="e">
        <v>#N/A</v>
      </c>
      <c r="N45" t="e">
        <v>#N/A</v>
      </c>
      <c r="O45" t="e">
        <v>#N/A</v>
      </c>
      <c r="P45" t="e">
        <v>#N/A</v>
      </c>
      <c r="R45" s="15">
        <f>D45/$B45</f>
        <v/>
      </c>
      <c r="S45" s="15">
        <f>E45/$B45</f>
        <v/>
      </c>
      <c r="T45" s="15">
        <f>F45/$B45</f>
        <v/>
      </c>
      <c r="U45" s="15">
        <f>G45/$B45</f>
        <v/>
      </c>
      <c r="V45" s="15">
        <f>H45/$B45</f>
        <v/>
      </c>
      <c r="W45" s="15">
        <f>I45/$B45</f>
        <v/>
      </c>
      <c r="X45" s="15">
        <f>J45/$B45</f>
        <v/>
      </c>
      <c r="Y45" s="15">
        <f>K45/$B45</f>
        <v/>
      </c>
      <c r="Z45" s="15">
        <f>L45/$B45</f>
        <v/>
      </c>
      <c r="AA45" s="15">
        <f>M45/$B45</f>
        <v/>
      </c>
      <c r="AB45" s="15">
        <f>N45/$B45</f>
        <v/>
      </c>
      <c r="AC45" s="15">
        <f>O45/$B45</f>
        <v/>
      </c>
      <c r="AD45" s="15">
        <f>(M45+N45+O45)/B45</f>
        <v/>
      </c>
      <c r="AE45" s="15">
        <f>(F45+I45+J45+K45+L45+M45+N45+O45)/$B45</f>
        <v/>
      </c>
      <c r="AF45" s="15">
        <f>P45/$B45</f>
        <v/>
      </c>
    </row>
    <row r="46">
      <c r="A46" s="16" t="n">
        <v>43</v>
      </c>
      <c r="B46" s="16" t="n">
        <v>1</v>
      </c>
      <c r="D46" t="e">
        <v>#N/A</v>
      </c>
      <c r="E46" t="e">
        <v>#N/A</v>
      </c>
      <c r="F46" t="e">
        <v>#N/A</v>
      </c>
      <c r="G46" t="e">
        <v>#N/A</v>
      </c>
      <c r="H46" t="e">
        <v>#N/A</v>
      </c>
      <c r="I46" t="e">
        <v>#N/A</v>
      </c>
      <c r="J46" t="e">
        <v>#N/A</v>
      </c>
      <c r="K46" t="e">
        <v>#N/A</v>
      </c>
      <c r="L46" t="e">
        <v>#N/A</v>
      </c>
      <c r="M46" t="e">
        <v>#N/A</v>
      </c>
      <c r="N46" t="e">
        <v>#N/A</v>
      </c>
      <c r="O46" t="e">
        <v>#N/A</v>
      </c>
      <c r="P46" t="e">
        <v>#N/A</v>
      </c>
      <c r="R46" s="15">
        <f>D46/$B46</f>
        <v/>
      </c>
      <c r="S46" s="15">
        <f>E46/$B46</f>
        <v/>
      </c>
      <c r="T46" s="15">
        <f>F46/$B46</f>
        <v/>
      </c>
      <c r="U46" s="15">
        <f>G46/$B46</f>
        <v/>
      </c>
      <c r="V46" s="15">
        <f>H46/$B46</f>
        <v/>
      </c>
      <c r="W46" s="15">
        <f>I46/$B46</f>
        <v/>
      </c>
      <c r="X46" s="15">
        <f>J46/$B46</f>
        <v/>
      </c>
      <c r="Y46" s="15">
        <f>K46/$B46</f>
        <v/>
      </c>
      <c r="Z46" s="15">
        <f>L46/$B46</f>
        <v/>
      </c>
      <c r="AA46" s="15">
        <f>M46/$B46</f>
        <v/>
      </c>
      <c r="AB46" s="15">
        <f>N46/$B46</f>
        <v/>
      </c>
      <c r="AC46" s="15">
        <f>O46/$B46</f>
        <v/>
      </c>
      <c r="AD46" s="15">
        <f>(M46+N46+O46)/B46</f>
        <v/>
      </c>
      <c r="AE46" s="15">
        <f>(F46+I46+J46+K46+L46+M46+N46+O46)/$B46</f>
        <v/>
      </c>
      <c r="AF46" s="15">
        <f>P46/$B46</f>
        <v/>
      </c>
    </row>
    <row r="47">
      <c r="A47" s="16" t="n">
        <v>44</v>
      </c>
      <c r="B47" s="16" t="n">
        <v>1</v>
      </c>
      <c r="D47" t="e">
        <v>#N/A</v>
      </c>
      <c r="E47" t="e">
        <v>#N/A</v>
      </c>
      <c r="F47" t="e">
        <v>#N/A</v>
      </c>
      <c r="G47" t="e">
        <v>#N/A</v>
      </c>
      <c r="H47" t="e">
        <v>#N/A</v>
      </c>
      <c r="I47" t="e">
        <v>#N/A</v>
      </c>
      <c r="J47" t="e">
        <v>#N/A</v>
      </c>
      <c r="K47" t="e">
        <v>#N/A</v>
      </c>
      <c r="L47" t="e">
        <v>#N/A</v>
      </c>
      <c r="M47" t="e">
        <v>#N/A</v>
      </c>
      <c r="N47" t="e">
        <v>#N/A</v>
      </c>
      <c r="O47" t="e">
        <v>#N/A</v>
      </c>
      <c r="P47" t="e">
        <v>#N/A</v>
      </c>
      <c r="R47" s="15">
        <f>D47/$B47</f>
        <v/>
      </c>
      <c r="S47" s="15">
        <f>E47/$B47</f>
        <v/>
      </c>
      <c r="T47" s="15">
        <f>F47/$B47</f>
        <v/>
      </c>
      <c r="U47" s="15">
        <f>G47/$B47</f>
        <v/>
      </c>
      <c r="V47" s="15">
        <f>H47/$B47</f>
        <v/>
      </c>
      <c r="W47" s="15">
        <f>I47/$B47</f>
        <v/>
      </c>
      <c r="X47" s="15">
        <f>J47/$B47</f>
        <v/>
      </c>
      <c r="Y47" s="15">
        <f>K47/$B47</f>
        <v/>
      </c>
      <c r="Z47" s="15">
        <f>L47/$B47</f>
        <v/>
      </c>
      <c r="AA47" s="15">
        <f>M47/$B47</f>
        <v/>
      </c>
      <c r="AB47" s="15">
        <f>N47/$B47</f>
        <v/>
      </c>
      <c r="AC47" s="15">
        <f>O47/$B47</f>
        <v/>
      </c>
      <c r="AD47" s="15">
        <f>(M47+N47+O47)/B47</f>
        <v/>
      </c>
      <c r="AE47" s="15">
        <f>(F47+I47+J47+K47+L47+M47+N47+O47)/$B47</f>
        <v/>
      </c>
      <c r="AF47" s="15">
        <f>P47/$B47</f>
        <v/>
      </c>
    </row>
    <row r="48">
      <c r="A48" s="16" t="n">
        <v>45</v>
      </c>
      <c r="B48" s="16" t="n">
        <v>1</v>
      </c>
      <c r="D48" t="e">
        <v>#N/A</v>
      </c>
      <c r="E48" t="e">
        <v>#N/A</v>
      </c>
      <c r="F48" t="e">
        <v>#N/A</v>
      </c>
      <c r="G48" t="e">
        <v>#N/A</v>
      </c>
      <c r="H48" t="e">
        <v>#N/A</v>
      </c>
      <c r="I48" t="e">
        <v>#N/A</v>
      </c>
      <c r="J48" t="e">
        <v>#N/A</v>
      </c>
      <c r="K48" t="e">
        <v>#N/A</v>
      </c>
      <c r="L48" t="e">
        <v>#N/A</v>
      </c>
      <c r="M48" t="e">
        <v>#N/A</v>
      </c>
      <c r="N48" t="e">
        <v>#N/A</v>
      </c>
      <c r="O48" t="e">
        <v>#N/A</v>
      </c>
      <c r="P48" t="e">
        <v>#N/A</v>
      </c>
      <c r="R48" s="15">
        <f>D48/$B48</f>
        <v/>
      </c>
      <c r="S48" s="15">
        <f>E48/$B48</f>
        <v/>
      </c>
      <c r="T48" s="15">
        <f>F48/$B48</f>
        <v/>
      </c>
      <c r="U48" s="15">
        <f>G48/$B48</f>
        <v/>
      </c>
      <c r="V48" s="15">
        <f>H48/$B48</f>
        <v/>
      </c>
      <c r="W48" s="15">
        <f>I48/$B48</f>
        <v/>
      </c>
      <c r="X48" s="15">
        <f>J48/$B48</f>
        <v/>
      </c>
      <c r="Y48" s="15">
        <f>K48/$B48</f>
        <v/>
      </c>
      <c r="Z48" s="15">
        <f>L48/$B48</f>
        <v/>
      </c>
      <c r="AA48" s="15">
        <f>M48/$B48</f>
        <v/>
      </c>
      <c r="AB48" s="15">
        <f>N48/$B48</f>
        <v/>
      </c>
      <c r="AC48" s="15">
        <f>O48/$B48</f>
        <v/>
      </c>
      <c r="AD48" s="15">
        <f>(M48+N48+O48)/B48</f>
        <v/>
      </c>
      <c r="AE48" s="15">
        <f>(F48+I48+J48+K48+L48+M48+N48+O48)/$B48</f>
        <v/>
      </c>
      <c r="AF48" s="15">
        <f>P48/$B48</f>
        <v/>
      </c>
    </row>
    <row r="49">
      <c r="A49" s="16" t="n">
        <v>46</v>
      </c>
      <c r="B49" s="16" t="n">
        <v>1</v>
      </c>
      <c r="D49" t="e">
        <v>#N/A</v>
      </c>
      <c r="E49" t="e">
        <v>#N/A</v>
      </c>
      <c r="F49" t="e">
        <v>#N/A</v>
      </c>
      <c r="G49" t="e">
        <v>#N/A</v>
      </c>
      <c r="H49" t="e">
        <v>#N/A</v>
      </c>
      <c r="I49" t="e">
        <v>#N/A</v>
      </c>
      <c r="J49" t="e">
        <v>#N/A</v>
      </c>
      <c r="K49" t="e">
        <v>#N/A</v>
      </c>
      <c r="L49" t="e">
        <v>#N/A</v>
      </c>
      <c r="M49" t="e">
        <v>#N/A</v>
      </c>
      <c r="N49" t="e">
        <v>#N/A</v>
      </c>
      <c r="O49" t="e">
        <v>#N/A</v>
      </c>
      <c r="P49" t="e">
        <v>#N/A</v>
      </c>
      <c r="R49" s="15">
        <f>D49/$B49</f>
        <v/>
      </c>
      <c r="S49" s="15">
        <f>E49/$B49</f>
        <v/>
      </c>
      <c r="T49" s="15">
        <f>F49/$B49</f>
        <v/>
      </c>
      <c r="U49" s="15">
        <f>G49/$B49</f>
        <v/>
      </c>
      <c r="V49" s="15">
        <f>H49/$B49</f>
        <v/>
      </c>
      <c r="W49" s="15">
        <f>I49/$B49</f>
        <v/>
      </c>
      <c r="X49" s="15">
        <f>J49/$B49</f>
        <v/>
      </c>
      <c r="Y49" s="15">
        <f>K49/$B49</f>
        <v/>
      </c>
      <c r="Z49" s="15">
        <f>L49/$B49</f>
        <v/>
      </c>
      <c r="AA49" s="15">
        <f>M49/$B49</f>
        <v/>
      </c>
      <c r="AB49" s="15">
        <f>N49/$B49</f>
        <v/>
      </c>
      <c r="AC49" s="15">
        <f>O49/$B49</f>
        <v/>
      </c>
      <c r="AD49" s="15">
        <f>(M49+N49+O49)/B49</f>
        <v/>
      </c>
      <c r="AE49" s="15">
        <f>(F49+I49+J49+K49+L49+M49+N49+O49)/$B49</f>
        <v/>
      </c>
      <c r="AF49" s="15">
        <f>P49/$B49</f>
        <v/>
      </c>
    </row>
    <row r="50">
      <c r="A50" s="16" t="n">
        <v>47</v>
      </c>
      <c r="B50" s="16" t="n">
        <v>1</v>
      </c>
      <c r="D50" t="e">
        <v>#N/A</v>
      </c>
      <c r="E50" t="e">
        <v>#N/A</v>
      </c>
      <c r="F50" t="e">
        <v>#N/A</v>
      </c>
      <c r="G50" t="e">
        <v>#N/A</v>
      </c>
      <c r="H50" t="e">
        <v>#N/A</v>
      </c>
      <c r="I50" t="e">
        <v>#N/A</v>
      </c>
      <c r="J50" t="e">
        <v>#N/A</v>
      </c>
      <c r="K50" t="e">
        <v>#N/A</v>
      </c>
      <c r="L50" t="e">
        <v>#N/A</v>
      </c>
      <c r="M50" t="e">
        <v>#N/A</v>
      </c>
      <c r="N50" t="e">
        <v>#N/A</v>
      </c>
      <c r="O50" t="e">
        <v>#N/A</v>
      </c>
      <c r="P50" t="e">
        <v>#N/A</v>
      </c>
      <c r="R50" s="15">
        <f>D50/$B50</f>
        <v/>
      </c>
      <c r="S50" s="15">
        <f>E50/$B50</f>
        <v/>
      </c>
      <c r="T50" s="15">
        <f>F50/$B50</f>
        <v/>
      </c>
      <c r="U50" s="15">
        <f>G50/$B50</f>
        <v/>
      </c>
      <c r="V50" s="15">
        <f>H50/$B50</f>
        <v/>
      </c>
      <c r="W50" s="15">
        <f>I50/$B50</f>
        <v/>
      </c>
      <c r="X50" s="15">
        <f>J50/$B50</f>
        <v/>
      </c>
      <c r="Y50" s="15">
        <f>K50/$B50</f>
        <v/>
      </c>
      <c r="Z50" s="15">
        <f>L50/$B50</f>
        <v/>
      </c>
      <c r="AA50" s="15">
        <f>M50/$B50</f>
        <v/>
      </c>
      <c r="AB50" s="15">
        <f>N50/$B50</f>
        <v/>
      </c>
      <c r="AC50" s="15">
        <f>O50/$B50</f>
        <v/>
      </c>
      <c r="AD50" s="15">
        <f>(M50+N50+O50)/B50</f>
        <v/>
      </c>
      <c r="AE50" s="15">
        <f>(F50+I50+J50+K50+L50+M50+N50+O50)/$B50</f>
        <v/>
      </c>
      <c r="AF50" s="15">
        <f>P50/$B50</f>
        <v/>
      </c>
    </row>
    <row r="51">
      <c r="A51" s="16" t="n">
        <v>48</v>
      </c>
      <c r="B51" s="16" t="n">
        <v>1</v>
      </c>
      <c r="D51" t="e">
        <v>#N/A</v>
      </c>
      <c r="E51" t="e">
        <v>#N/A</v>
      </c>
      <c r="F51" t="e">
        <v>#N/A</v>
      </c>
      <c r="G51" t="e">
        <v>#N/A</v>
      </c>
      <c r="H51" t="e">
        <v>#N/A</v>
      </c>
      <c r="I51" t="e">
        <v>#N/A</v>
      </c>
      <c r="J51" t="e">
        <v>#N/A</v>
      </c>
      <c r="K51" t="e">
        <v>#N/A</v>
      </c>
      <c r="L51" t="e">
        <v>#N/A</v>
      </c>
      <c r="M51" t="e">
        <v>#N/A</v>
      </c>
      <c r="N51" t="e">
        <v>#N/A</v>
      </c>
      <c r="O51" t="e">
        <v>#N/A</v>
      </c>
      <c r="P51" t="e">
        <v>#N/A</v>
      </c>
      <c r="R51" s="15">
        <f>D51/$B51</f>
        <v/>
      </c>
      <c r="S51" s="15">
        <f>E51/$B51</f>
        <v/>
      </c>
      <c r="T51" s="15">
        <f>F51/$B51</f>
        <v/>
      </c>
      <c r="U51" s="15">
        <f>G51/$B51</f>
        <v/>
      </c>
      <c r="V51" s="15">
        <f>H51/$B51</f>
        <v/>
      </c>
      <c r="W51" s="15">
        <f>I51/$B51</f>
        <v/>
      </c>
      <c r="X51" s="15">
        <f>J51/$B51</f>
        <v/>
      </c>
      <c r="Y51" s="15">
        <f>K51/$B51</f>
        <v/>
      </c>
      <c r="Z51" s="15">
        <f>L51/$B51</f>
        <v/>
      </c>
      <c r="AA51" s="15">
        <f>M51/$B51</f>
        <v/>
      </c>
      <c r="AB51" s="15">
        <f>N51/$B51</f>
        <v/>
      </c>
      <c r="AC51" s="15">
        <f>O51/$B51</f>
        <v/>
      </c>
      <c r="AD51" s="15">
        <f>(M51+N51+O51)/B51</f>
        <v/>
      </c>
      <c r="AE51" s="15">
        <f>(F51+I51+J51+K51+L51+M51+N51+O51)/$B51</f>
        <v/>
      </c>
      <c r="AF51" s="15">
        <f>P51/$B51</f>
        <v/>
      </c>
    </row>
    <row r="52">
      <c r="A52" s="16" t="n">
        <v>49</v>
      </c>
      <c r="B52" s="16" t="n">
        <v>1</v>
      </c>
      <c r="D52" t="e">
        <v>#N/A</v>
      </c>
      <c r="E52" t="e">
        <v>#N/A</v>
      </c>
      <c r="F52" t="e">
        <v>#N/A</v>
      </c>
      <c r="G52" t="e">
        <v>#N/A</v>
      </c>
      <c r="H52" t="e">
        <v>#N/A</v>
      </c>
      <c r="I52" t="e">
        <v>#N/A</v>
      </c>
      <c r="J52" t="e">
        <v>#N/A</v>
      </c>
      <c r="K52" t="e">
        <v>#N/A</v>
      </c>
      <c r="L52" t="e">
        <v>#N/A</v>
      </c>
      <c r="M52" t="e">
        <v>#N/A</v>
      </c>
      <c r="N52" t="e">
        <v>#N/A</v>
      </c>
      <c r="O52" t="e">
        <v>#N/A</v>
      </c>
      <c r="P52" t="e">
        <v>#N/A</v>
      </c>
      <c r="R52" s="15">
        <f>D52/$B52</f>
        <v/>
      </c>
      <c r="S52" s="15">
        <f>E52/$B52</f>
        <v/>
      </c>
      <c r="T52" s="15">
        <f>F52/$B52</f>
        <v/>
      </c>
      <c r="U52" s="15">
        <f>G52/$B52</f>
        <v/>
      </c>
      <c r="V52" s="15">
        <f>H52/$B52</f>
        <v/>
      </c>
      <c r="W52" s="15">
        <f>I52/$B52</f>
        <v/>
      </c>
      <c r="X52" s="15">
        <f>J52/$B52</f>
        <v/>
      </c>
      <c r="Y52" s="15">
        <f>K52/$B52</f>
        <v/>
      </c>
      <c r="Z52" s="15">
        <f>L52/$B52</f>
        <v/>
      </c>
      <c r="AA52" s="15">
        <f>M52/$B52</f>
        <v/>
      </c>
      <c r="AB52" s="15">
        <f>N52/$B52</f>
        <v/>
      </c>
      <c r="AC52" s="15">
        <f>O52/$B52</f>
        <v/>
      </c>
      <c r="AD52" s="15">
        <f>(M52+N52+O52)/B52</f>
        <v/>
      </c>
      <c r="AE52" s="15">
        <f>(F52+I52+J52+K52+L52+M52+N52+O52)/$B52</f>
        <v/>
      </c>
      <c r="AF52" s="15">
        <f>P52/$B52</f>
        <v/>
      </c>
    </row>
    <row r="53">
      <c r="A53" s="16" t="n">
        <v>50</v>
      </c>
      <c r="B53" s="16" t="n">
        <v>1</v>
      </c>
      <c r="D53" t="e">
        <v>#N/A</v>
      </c>
      <c r="E53" t="e">
        <v>#N/A</v>
      </c>
      <c r="F53" t="e">
        <v>#N/A</v>
      </c>
      <c r="G53" t="e">
        <v>#N/A</v>
      </c>
      <c r="H53" t="e">
        <v>#N/A</v>
      </c>
      <c r="I53" t="e">
        <v>#N/A</v>
      </c>
      <c r="J53" t="e">
        <v>#N/A</v>
      </c>
      <c r="K53" t="e">
        <v>#N/A</v>
      </c>
      <c r="L53" t="e">
        <v>#N/A</v>
      </c>
      <c r="M53" t="e">
        <v>#N/A</v>
      </c>
      <c r="N53" t="e">
        <v>#N/A</v>
      </c>
      <c r="O53" t="e">
        <v>#N/A</v>
      </c>
      <c r="P53" t="e">
        <v>#N/A</v>
      </c>
      <c r="R53" s="15">
        <f>D53/$B53</f>
        <v/>
      </c>
      <c r="S53" s="15">
        <f>E53/$B53</f>
        <v/>
      </c>
      <c r="T53" s="15">
        <f>F53/$B53</f>
        <v/>
      </c>
      <c r="U53" s="15">
        <f>G53/$B53</f>
        <v/>
      </c>
      <c r="V53" s="15">
        <f>H53/$B53</f>
        <v/>
      </c>
      <c r="W53" s="15">
        <f>I53/$B53</f>
        <v/>
      </c>
      <c r="X53" s="15">
        <f>J53/$B53</f>
        <v/>
      </c>
      <c r="Y53" s="15">
        <f>K53/$B53</f>
        <v/>
      </c>
      <c r="Z53" s="15">
        <f>L53/$B53</f>
        <v/>
      </c>
      <c r="AA53" s="15">
        <f>M53/$B53</f>
        <v/>
      </c>
      <c r="AB53" s="15">
        <f>N53/$B53</f>
        <v/>
      </c>
      <c r="AC53" s="15">
        <f>O53/$B53</f>
        <v/>
      </c>
      <c r="AD53" s="15">
        <f>(M53+N53+O53)/B53</f>
        <v/>
      </c>
      <c r="AE53" s="15">
        <f>(F53+I53+J53+K53+L53+M53+N53+O53)/$B53</f>
        <v/>
      </c>
      <c r="AF53" s="15">
        <f>P53/$B53</f>
        <v/>
      </c>
    </row>
    <row r="54">
      <c r="A54" s="16" t="n">
        <v>51</v>
      </c>
      <c r="B54" s="16" t="n">
        <v>1</v>
      </c>
      <c r="D54" t="e">
        <v>#N/A</v>
      </c>
      <c r="E54" t="e">
        <v>#N/A</v>
      </c>
      <c r="F54" t="e">
        <v>#N/A</v>
      </c>
      <c r="G54" t="e">
        <v>#N/A</v>
      </c>
      <c r="H54" t="e">
        <v>#N/A</v>
      </c>
      <c r="I54" t="e">
        <v>#N/A</v>
      </c>
      <c r="J54" t="e">
        <v>#N/A</v>
      </c>
      <c r="K54" t="e">
        <v>#N/A</v>
      </c>
      <c r="L54" t="e">
        <v>#N/A</v>
      </c>
      <c r="M54" t="e">
        <v>#N/A</v>
      </c>
      <c r="N54" t="e">
        <v>#N/A</v>
      </c>
      <c r="O54" t="e">
        <v>#N/A</v>
      </c>
      <c r="P54" t="e">
        <v>#N/A</v>
      </c>
      <c r="R54" s="15">
        <f>D54/$B54</f>
        <v/>
      </c>
      <c r="S54" s="15">
        <f>E54/$B54</f>
        <v/>
      </c>
      <c r="T54" s="15">
        <f>F54/$B54</f>
        <v/>
      </c>
      <c r="U54" s="15">
        <f>G54/$B54</f>
        <v/>
      </c>
      <c r="V54" s="15">
        <f>H54/$B54</f>
        <v/>
      </c>
      <c r="W54" s="15">
        <f>I54/$B54</f>
        <v/>
      </c>
      <c r="X54" s="15">
        <f>J54/$B54</f>
        <v/>
      </c>
      <c r="Y54" s="15">
        <f>K54/$B54</f>
        <v/>
      </c>
      <c r="Z54" s="15">
        <f>L54/$B54</f>
        <v/>
      </c>
      <c r="AA54" s="15">
        <f>M54/$B54</f>
        <v/>
      </c>
      <c r="AB54" s="15">
        <f>N54/$B54</f>
        <v/>
      </c>
      <c r="AC54" s="15">
        <f>O54/$B54</f>
        <v/>
      </c>
      <c r="AD54" s="15">
        <f>(M54+N54+O54)/B54</f>
        <v/>
      </c>
      <c r="AE54" s="15">
        <f>(F54+I54+J54+K54+L54+M54+N54+O54)/$B54</f>
        <v/>
      </c>
      <c r="AF54" s="15">
        <f>P54/$B54</f>
        <v/>
      </c>
    </row>
    <row r="55">
      <c r="A55" s="16" t="n">
        <v>52</v>
      </c>
      <c r="B55" s="16" t="n">
        <v>1</v>
      </c>
      <c r="D55" t="e">
        <v>#N/A</v>
      </c>
      <c r="E55" t="e">
        <v>#N/A</v>
      </c>
      <c r="F55" t="e">
        <v>#N/A</v>
      </c>
      <c r="G55" t="e">
        <v>#N/A</v>
      </c>
      <c r="H55" t="e">
        <v>#N/A</v>
      </c>
      <c r="I55" t="e">
        <v>#N/A</v>
      </c>
      <c r="J55" t="e">
        <v>#N/A</v>
      </c>
      <c r="K55" t="e">
        <v>#N/A</v>
      </c>
      <c r="L55" t="e">
        <v>#N/A</v>
      </c>
      <c r="M55" t="e">
        <v>#N/A</v>
      </c>
      <c r="N55" t="e">
        <v>#N/A</v>
      </c>
      <c r="O55" t="e">
        <v>#N/A</v>
      </c>
      <c r="P55" t="e">
        <v>#N/A</v>
      </c>
      <c r="R55" s="15">
        <f>D55/$B55</f>
        <v/>
      </c>
      <c r="S55" s="15">
        <f>E55/$B55</f>
        <v/>
      </c>
      <c r="T55" s="15">
        <f>F55/$B55</f>
        <v/>
      </c>
      <c r="U55" s="15">
        <f>G55/$B55</f>
        <v/>
      </c>
      <c r="V55" s="15">
        <f>H55/$B55</f>
        <v/>
      </c>
      <c r="W55" s="15">
        <f>I55/$B55</f>
        <v/>
      </c>
      <c r="X55" s="15">
        <f>J55/$B55</f>
        <v/>
      </c>
      <c r="Y55" s="15">
        <f>K55/$B55</f>
        <v/>
      </c>
      <c r="Z55" s="15">
        <f>L55/$B55</f>
        <v/>
      </c>
      <c r="AA55" s="15">
        <f>M55/$B55</f>
        <v/>
      </c>
      <c r="AB55" s="15">
        <f>N55/$B55</f>
        <v/>
      </c>
      <c r="AC55" s="15">
        <f>O55/$B55</f>
        <v/>
      </c>
      <c r="AD55" s="15">
        <f>(M55+N55+O55)/B55</f>
        <v/>
      </c>
      <c r="AE55" s="15">
        <f>(F55+I55+J55+K55+L55+M55+N55+O55)/$B55</f>
        <v/>
      </c>
      <c r="AF55" s="15">
        <f>P55/$B55</f>
        <v/>
      </c>
    </row>
    <row r="56">
      <c r="A56" s="16" t="n">
        <v>53</v>
      </c>
      <c r="B56" s="16" t="n">
        <v>1</v>
      </c>
      <c r="D56" t="e">
        <v>#N/A</v>
      </c>
      <c r="E56" t="e">
        <v>#N/A</v>
      </c>
      <c r="F56" t="e">
        <v>#N/A</v>
      </c>
      <c r="G56" t="e">
        <v>#N/A</v>
      </c>
      <c r="H56" t="e">
        <v>#N/A</v>
      </c>
      <c r="I56" t="e">
        <v>#N/A</v>
      </c>
      <c r="J56" t="e">
        <v>#N/A</v>
      </c>
      <c r="K56" t="e">
        <v>#N/A</v>
      </c>
      <c r="L56" t="e">
        <v>#N/A</v>
      </c>
      <c r="M56" t="e">
        <v>#N/A</v>
      </c>
      <c r="N56" t="e">
        <v>#N/A</v>
      </c>
      <c r="O56" t="e">
        <v>#N/A</v>
      </c>
      <c r="P56" t="e">
        <v>#N/A</v>
      </c>
      <c r="R56" s="15">
        <f>D56/$B56</f>
        <v/>
      </c>
      <c r="S56" s="15">
        <f>E56/$B56</f>
        <v/>
      </c>
      <c r="T56" s="15">
        <f>F56/$B56</f>
        <v/>
      </c>
      <c r="U56" s="15">
        <f>G56/$B56</f>
        <v/>
      </c>
      <c r="V56" s="15">
        <f>H56/$B56</f>
        <v/>
      </c>
      <c r="W56" s="15">
        <f>I56/$B56</f>
        <v/>
      </c>
      <c r="X56" s="15">
        <f>J56/$B56</f>
        <v/>
      </c>
      <c r="Y56" s="15">
        <f>K56/$B56</f>
        <v/>
      </c>
      <c r="Z56" s="15">
        <f>L56/$B56</f>
        <v/>
      </c>
      <c r="AA56" s="15">
        <f>M56/$B56</f>
        <v/>
      </c>
      <c r="AB56" s="15">
        <f>N56/$B56</f>
        <v/>
      </c>
      <c r="AC56" s="15">
        <f>O56/$B56</f>
        <v/>
      </c>
      <c r="AD56" s="15">
        <f>(M56+N56+O56)/B56</f>
        <v/>
      </c>
      <c r="AE56" s="15">
        <f>(F56+I56+J56+K56+L56+M56+N56+O56)/$B56</f>
        <v/>
      </c>
      <c r="AF56" s="15">
        <f>P56/$B56</f>
        <v/>
      </c>
    </row>
    <row r="57">
      <c r="A57" s="16" t="n">
        <v>54</v>
      </c>
      <c r="B57" s="16" t="n">
        <v>1</v>
      </c>
      <c r="D57" t="e">
        <v>#N/A</v>
      </c>
      <c r="E57" t="e">
        <v>#N/A</v>
      </c>
      <c r="F57" t="e">
        <v>#N/A</v>
      </c>
      <c r="G57" t="e">
        <v>#N/A</v>
      </c>
      <c r="H57" t="e">
        <v>#N/A</v>
      </c>
      <c r="I57" t="e">
        <v>#N/A</v>
      </c>
      <c r="J57" t="e">
        <v>#N/A</v>
      </c>
      <c r="K57" t="e">
        <v>#N/A</v>
      </c>
      <c r="L57" t="e">
        <v>#N/A</v>
      </c>
      <c r="M57" t="e">
        <v>#N/A</v>
      </c>
      <c r="N57" t="e">
        <v>#N/A</v>
      </c>
      <c r="O57" t="e">
        <v>#N/A</v>
      </c>
      <c r="P57" t="e">
        <v>#N/A</v>
      </c>
      <c r="R57" s="15">
        <f>D57/$B57</f>
        <v/>
      </c>
      <c r="S57" s="15">
        <f>E57/$B57</f>
        <v/>
      </c>
      <c r="T57" s="15">
        <f>F57/$B57</f>
        <v/>
      </c>
      <c r="U57" s="15">
        <f>G57/$B57</f>
        <v/>
      </c>
      <c r="V57" s="15">
        <f>H57/$B57</f>
        <v/>
      </c>
      <c r="W57" s="15">
        <f>I57/$B57</f>
        <v/>
      </c>
      <c r="X57" s="15">
        <f>J57/$B57</f>
        <v/>
      </c>
      <c r="Y57" s="15">
        <f>K57/$B57</f>
        <v/>
      </c>
      <c r="Z57" s="15">
        <f>L57/$B57</f>
        <v/>
      </c>
      <c r="AA57" s="15">
        <f>M57/$B57</f>
        <v/>
      </c>
      <c r="AB57" s="15">
        <f>N57/$B57</f>
        <v/>
      </c>
      <c r="AC57" s="15">
        <f>O57/$B57</f>
        <v/>
      </c>
      <c r="AD57" s="15">
        <f>(M57+N57+O57)/B57</f>
        <v/>
      </c>
      <c r="AE57" s="15">
        <f>(F57+I57+J57+K57+L57+M57+N57+O57)/$B57</f>
        <v/>
      </c>
      <c r="AF57" s="15">
        <f>P57/$B57</f>
        <v/>
      </c>
    </row>
    <row r="58">
      <c r="A58" s="16" t="n">
        <v>55</v>
      </c>
      <c r="B58" s="16" t="n">
        <v>1</v>
      </c>
      <c r="D58" t="e">
        <v>#N/A</v>
      </c>
      <c r="E58" t="e">
        <v>#N/A</v>
      </c>
      <c r="F58" t="e">
        <v>#N/A</v>
      </c>
      <c r="G58" t="e">
        <v>#N/A</v>
      </c>
      <c r="H58" t="e">
        <v>#N/A</v>
      </c>
      <c r="I58" t="e">
        <v>#N/A</v>
      </c>
      <c r="J58" t="e">
        <v>#N/A</v>
      </c>
      <c r="K58" t="e">
        <v>#N/A</v>
      </c>
      <c r="L58" t="e">
        <v>#N/A</v>
      </c>
      <c r="M58" t="e">
        <v>#N/A</v>
      </c>
      <c r="N58" t="e">
        <v>#N/A</v>
      </c>
      <c r="O58" t="e">
        <v>#N/A</v>
      </c>
      <c r="P58" t="e">
        <v>#N/A</v>
      </c>
      <c r="R58" s="15">
        <f>D58/$B58</f>
        <v/>
      </c>
      <c r="S58" s="15">
        <f>E58/$B58</f>
        <v/>
      </c>
      <c r="T58" s="15">
        <f>F58/$B58</f>
        <v/>
      </c>
      <c r="U58" s="15">
        <f>G58/$B58</f>
        <v/>
      </c>
      <c r="V58" s="15">
        <f>H58/$B58</f>
        <v/>
      </c>
      <c r="W58" s="15">
        <f>I58/$B58</f>
        <v/>
      </c>
      <c r="X58" s="15">
        <f>J58/$B58</f>
        <v/>
      </c>
      <c r="Y58" s="15">
        <f>K58/$B58</f>
        <v/>
      </c>
      <c r="Z58" s="15">
        <f>L58/$B58</f>
        <v/>
      </c>
      <c r="AA58" s="15">
        <f>M58/$B58</f>
        <v/>
      </c>
      <c r="AB58" s="15">
        <f>N58/$B58</f>
        <v/>
      </c>
      <c r="AC58" s="15">
        <f>O58/$B58</f>
        <v/>
      </c>
      <c r="AD58" s="15">
        <f>(M58+N58+O58)/B58</f>
        <v/>
      </c>
      <c r="AE58" s="15">
        <f>(F58+I58+J58+K58+L58+M58+N58+O58)/$B58</f>
        <v/>
      </c>
      <c r="AF58" s="15">
        <f>P58/$B58</f>
        <v/>
      </c>
    </row>
    <row r="59">
      <c r="A59" s="16" t="n">
        <v>56</v>
      </c>
      <c r="B59" s="16" t="n">
        <v>1</v>
      </c>
      <c r="D59" t="e">
        <v>#N/A</v>
      </c>
      <c r="E59" t="e">
        <v>#N/A</v>
      </c>
      <c r="F59" t="e">
        <v>#N/A</v>
      </c>
      <c r="G59" t="e">
        <v>#N/A</v>
      </c>
      <c r="H59" t="e">
        <v>#N/A</v>
      </c>
      <c r="I59" t="e">
        <v>#N/A</v>
      </c>
      <c r="J59" t="e">
        <v>#N/A</v>
      </c>
      <c r="K59" t="e">
        <v>#N/A</v>
      </c>
      <c r="L59" t="e">
        <v>#N/A</v>
      </c>
      <c r="M59" t="e">
        <v>#N/A</v>
      </c>
      <c r="N59" t="e">
        <v>#N/A</v>
      </c>
      <c r="O59" t="e">
        <v>#N/A</v>
      </c>
      <c r="P59" t="e">
        <v>#N/A</v>
      </c>
      <c r="R59" s="15">
        <f>D59/$B59</f>
        <v/>
      </c>
      <c r="S59" s="15">
        <f>E59/$B59</f>
        <v/>
      </c>
      <c r="T59" s="15">
        <f>F59/$B59</f>
        <v/>
      </c>
      <c r="U59" s="15">
        <f>G59/$B59</f>
        <v/>
      </c>
      <c r="V59" s="15">
        <f>H59/$B59</f>
        <v/>
      </c>
      <c r="W59" s="15">
        <f>I59/$B59</f>
        <v/>
      </c>
      <c r="X59" s="15">
        <f>J59/$B59</f>
        <v/>
      </c>
      <c r="Y59" s="15">
        <f>K59/$B59</f>
        <v/>
      </c>
      <c r="Z59" s="15">
        <f>L59/$B59</f>
        <v/>
      </c>
      <c r="AA59" s="15">
        <f>M59/$B59</f>
        <v/>
      </c>
      <c r="AB59" s="15">
        <f>N59/$B59</f>
        <v/>
      </c>
      <c r="AC59" s="15">
        <f>O59/$B59</f>
        <v/>
      </c>
      <c r="AD59" s="15">
        <f>(M59+N59+O59)/B59</f>
        <v/>
      </c>
      <c r="AE59" s="15">
        <f>(F59+I59+J59+K59+L59+M59+N59+O59)/$B59</f>
        <v/>
      </c>
      <c r="AF59" s="15">
        <f>P59/$B59</f>
        <v/>
      </c>
    </row>
    <row r="60">
      <c r="A60" s="16" t="n">
        <v>57</v>
      </c>
      <c r="B60" s="16" t="n">
        <v>1</v>
      </c>
      <c r="D60" t="e">
        <v>#N/A</v>
      </c>
      <c r="E60" t="e">
        <v>#N/A</v>
      </c>
      <c r="F60" t="e">
        <v>#N/A</v>
      </c>
      <c r="G60" t="e">
        <v>#N/A</v>
      </c>
      <c r="H60" t="e">
        <v>#N/A</v>
      </c>
      <c r="I60" t="e">
        <v>#N/A</v>
      </c>
      <c r="J60" t="e">
        <v>#N/A</v>
      </c>
      <c r="K60" t="e">
        <v>#N/A</v>
      </c>
      <c r="L60" t="e">
        <v>#N/A</v>
      </c>
      <c r="M60" t="e">
        <v>#N/A</v>
      </c>
      <c r="N60" t="e">
        <v>#N/A</v>
      </c>
      <c r="O60" t="e">
        <v>#N/A</v>
      </c>
      <c r="P60" t="e">
        <v>#N/A</v>
      </c>
      <c r="R60" s="15">
        <f>D60/$B60</f>
        <v/>
      </c>
      <c r="S60" s="15">
        <f>E60/$B60</f>
        <v/>
      </c>
      <c r="T60" s="15">
        <f>F60/$B60</f>
        <v/>
      </c>
      <c r="U60" s="15">
        <f>G60/$B60</f>
        <v/>
      </c>
      <c r="V60" s="15">
        <f>H60/$B60</f>
        <v/>
      </c>
      <c r="W60" s="15">
        <f>I60/$B60</f>
        <v/>
      </c>
      <c r="X60" s="15">
        <f>J60/$B60</f>
        <v/>
      </c>
      <c r="Y60" s="15">
        <f>K60/$B60</f>
        <v/>
      </c>
      <c r="Z60" s="15">
        <f>L60/$B60</f>
        <v/>
      </c>
      <c r="AA60" s="15">
        <f>M60/$B60</f>
        <v/>
      </c>
      <c r="AB60" s="15">
        <f>N60/$B60</f>
        <v/>
      </c>
      <c r="AC60" s="15">
        <f>O60/$B60</f>
        <v/>
      </c>
      <c r="AD60" s="15">
        <f>(M60+N60+O60)/B60</f>
        <v/>
      </c>
      <c r="AE60" s="15">
        <f>(F60+I60+J60+K60+L60+M60+N60+O60)/$B60</f>
        <v/>
      </c>
      <c r="AF60" s="15">
        <f>P60/$B60</f>
        <v/>
      </c>
    </row>
    <row r="61">
      <c r="A61" s="16" t="n">
        <v>58</v>
      </c>
      <c r="B61" s="16" t="n">
        <v>1</v>
      </c>
      <c r="D61" t="e">
        <v>#N/A</v>
      </c>
      <c r="E61" t="e">
        <v>#N/A</v>
      </c>
      <c r="F61" t="e">
        <v>#N/A</v>
      </c>
      <c r="G61" t="e">
        <v>#N/A</v>
      </c>
      <c r="H61" t="e">
        <v>#N/A</v>
      </c>
      <c r="I61" t="e">
        <v>#N/A</v>
      </c>
      <c r="J61" t="e">
        <v>#N/A</v>
      </c>
      <c r="K61" t="e">
        <v>#N/A</v>
      </c>
      <c r="L61" t="e">
        <v>#N/A</v>
      </c>
      <c r="M61" t="e">
        <v>#N/A</v>
      </c>
      <c r="N61" t="e">
        <v>#N/A</v>
      </c>
      <c r="O61" t="e">
        <v>#N/A</v>
      </c>
      <c r="P61" t="e">
        <v>#N/A</v>
      </c>
      <c r="R61" s="15">
        <f>D61/$B61</f>
        <v/>
      </c>
      <c r="S61" s="15">
        <f>E61/$B61</f>
        <v/>
      </c>
      <c r="T61" s="15">
        <f>F61/$B61</f>
        <v/>
      </c>
      <c r="U61" s="15">
        <f>G61/$B61</f>
        <v/>
      </c>
      <c r="V61" s="15">
        <f>H61/$B61</f>
        <v/>
      </c>
      <c r="W61" s="15">
        <f>I61/$B61</f>
        <v/>
      </c>
      <c r="X61" s="15">
        <f>J61/$B61</f>
        <v/>
      </c>
      <c r="Y61" s="15">
        <f>K61/$B61</f>
        <v/>
      </c>
      <c r="Z61" s="15">
        <f>L61/$B61</f>
        <v/>
      </c>
      <c r="AA61" s="15">
        <f>M61/$B61</f>
        <v/>
      </c>
      <c r="AB61" s="15">
        <f>N61/$B61</f>
        <v/>
      </c>
      <c r="AC61" s="15">
        <f>O61/$B61</f>
        <v/>
      </c>
      <c r="AD61" s="15">
        <f>(M61+N61+O61)/B61</f>
        <v/>
      </c>
      <c r="AE61" s="15">
        <f>(F61+I61+J61+K61+L61+M61+N61+O61)/$B61</f>
        <v/>
      </c>
      <c r="AF61" s="15">
        <f>P61/$B61</f>
        <v/>
      </c>
    </row>
    <row r="62">
      <c r="A62" s="16" t="n">
        <v>59</v>
      </c>
      <c r="B62" s="16" t="n">
        <v>1</v>
      </c>
      <c r="D62" t="e">
        <v>#N/A</v>
      </c>
      <c r="E62" t="e">
        <v>#N/A</v>
      </c>
      <c r="F62" t="e">
        <v>#N/A</v>
      </c>
      <c r="G62" t="e">
        <v>#N/A</v>
      </c>
      <c r="H62" t="e">
        <v>#N/A</v>
      </c>
      <c r="I62" t="e">
        <v>#N/A</v>
      </c>
      <c r="J62" t="e">
        <v>#N/A</v>
      </c>
      <c r="K62" t="e">
        <v>#N/A</v>
      </c>
      <c r="L62" t="e">
        <v>#N/A</v>
      </c>
      <c r="M62" t="e">
        <v>#N/A</v>
      </c>
      <c r="N62" t="e">
        <v>#N/A</v>
      </c>
      <c r="O62" t="e">
        <v>#N/A</v>
      </c>
      <c r="P62" t="e">
        <v>#N/A</v>
      </c>
      <c r="R62" s="15">
        <f>D62/$B62</f>
        <v/>
      </c>
      <c r="S62" s="15">
        <f>E62/$B62</f>
        <v/>
      </c>
      <c r="T62" s="15">
        <f>F62/$B62</f>
        <v/>
      </c>
      <c r="U62" s="15">
        <f>G62/$B62</f>
        <v/>
      </c>
      <c r="V62" s="15">
        <f>H62/$B62</f>
        <v/>
      </c>
      <c r="W62" s="15">
        <f>I62/$B62</f>
        <v/>
      </c>
      <c r="X62" s="15">
        <f>J62/$B62</f>
        <v/>
      </c>
      <c r="Y62" s="15">
        <f>K62/$B62</f>
        <v/>
      </c>
      <c r="Z62" s="15">
        <f>L62/$B62</f>
        <v/>
      </c>
      <c r="AA62" s="15">
        <f>M62/$B62</f>
        <v/>
      </c>
      <c r="AB62" s="15">
        <f>N62/$B62</f>
        <v/>
      </c>
      <c r="AC62" s="15">
        <f>O62/$B62</f>
        <v/>
      </c>
      <c r="AD62" s="15">
        <f>(M62+N62+O62)/B62</f>
        <v/>
      </c>
      <c r="AE62" s="15">
        <f>(F62+I62+J62+K62+L62+M62+N62+O62)/$B62</f>
        <v/>
      </c>
      <c r="AF62" s="15">
        <f>P62/$B62</f>
        <v/>
      </c>
    </row>
    <row r="63">
      <c r="A63" s="16" t="n">
        <v>60</v>
      </c>
      <c r="B63" s="16" t="n">
        <v>1</v>
      </c>
      <c r="D63" t="e">
        <v>#N/A</v>
      </c>
      <c r="E63" t="e">
        <v>#N/A</v>
      </c>
      <c r="F63" t="e">
        <v>#N/A</v>
      </c>
      <c r="G63" t="e">
        <v>#N/A</v>
      </c>
      <c r="H63" t="e">
        <v>#N/A</v>
      </c>
      <c r="I63" t="e">
        <v>#N/A</v>
      </c>
      <c r="J63" t="e">
        <v>#N/A</v>
      </c>
      <c r="K63" t="e">
        <v>#N/A</v>
      </c>
      <c r="L63" t="e">
        <v>#N/A</v>
      </c>
      <c r="M63" t="e">
        <v>#N/A</v>
      </c>
      <c r="N63" t="e">
        <v>#N/A</v>
      </c>
      <c r="O63" t="e">
        <v>#N/A</v>
      </c>
      <c r="P63" t="e">
        <v>#N/A</v>
      </c>
      <c r="R63" s="15">
        <f>D63/$B63</f>
        <v/>
      </c>
      <c r="S63" s="15">
        <f>E63/$B63</f>
        <v/>
      </c>
      <c r="T63" s="15">
        <f>F63/$B63</f>
        <v/>
      </c>
      <c r="U63" s="15">
        <f>G63/$B63</f>
        <v/>
      </c>
      <c r="V63" s="15">
        <f>H63/$B63</f>
        <v/>
      </c>
      <c r="W63" s="15">
        <f>I63/$B63</f>
        <v/>
      </c>
      <c r="X63" s="15">
        <f>J63/$B63</f>
        <v/>
      </c>
      <c r="Y63" s="15">
        <f>K63/$B63</f>
        <v/>
      </c>
      <c r="Z63" s="15">
        <f>L63/$B63</f>
        <v/>
      </c>
      <c r="AA63" s="15">
        <f>M63/$B63</f>
        <v/>
      </c>
      <c r="AB63" s="15">
        <f>N63/$B63</f>
        <v/>
      </c>
      <c r="AC63" s="15">
        <f>O63/$B63</f>
        <v/>
      </c>
      <c r="AD63" s="15">
        <f>(M63+N63+O63)/B63</f>
        <v/>
      </c>
      <c r="AE63" s="15">
        <f>(F63+I63+J63+K63+L63+M63+N63+O63)/$B63</f>
        <v/>
      </c>
      <c r="AF63" s="15">
        <f>P63/$B63</f>
        <v/>
      </c>
    </row>
    <row r="64">
      <c r="A64" s="16" t="n">
        <v>61</v>
      </c>
      <c r="B64" s="16" t="n">
        <v>1</v>
      </c>
      <c r="D64" t="e">
        <v>#N/A</v>
      </c>
      <c r="E64" t="e">
        <v>#N/A</v>
      </c>
      <c r="F64" t="e">
        <v>#N/A</v>
      </c>
      <c r="G64" t="e">
        <v>#N/A</v>
      </c>
      <c r="H64" t="e">
        <v>#N/A</v>
      </c>
      <c r="I64" t="e">
        <v>#N/A</v>
      </c>
      <c r="J64" t="e">
        <v>#N/A</v>
      </c>
      <c r="K64" t="e">
        <v>#N/A</v>
      </c>
      <c r="L64" t="e">
        <v>#N/A</v>
      </c>
      <c r="M64" t="e">
        <v>#N/A</v>
      </c>
      <c r="N64" t="e">
        <v>#N/A</v>
      </c>
      <c r="O64" t="e">
        <v>#N/A</v>
      </c>
      <c r="P64" t="e">
        <v>#N/A</v>
      </c>
      <c r="R64" s="15">
        <f>D64/$B64</f>
        <v/>
      </c>
      <c r="S64" s="15">
        <f>E64/$B64</f>
        <v/>
      </c>
      <c r="T64" s="15">
        <f>F64/$B64</f>
        <v/>
      </c>
      <c r="U64" s="15">
        <f>G64/$B64</f>
        <v/>
      </c>
      <c r="V64" s="15">
        <f>H64/$B64</f>
        <v/>
      </c>
      <c r="W64" s="15">
        <f>I64/$B64</f>
        <v/>
      </c>
      <c r="X64" s="15">
        <f>J64/$B64</f>
        <v/>
      </c>
      <c r="Y64" s="15">
        <f>K64/$B64</f>
        <v/>
      </c>
      <c r="Z64" s="15">
        <f>L64/$B64</f>
        <v/>
      </c>
      <c r="AA64" s="15">
        <f>M64/$B64</f>
        <v/>
      </c>
      <c r="AB64" s="15">
        <f>N64/$B64</f>
        <v/>
      </c>
      <c r="AC64" s="15">
        <f>O64/$B64</f>
        <v/>
      </c>
      <c r="AD64" s="15">
        <f>(M64+N64+O64)/B64</f>
        <v/>
      </c>
      <c r="AE64" s="15">
        <f>(F64+I64+J64+K64+L64+M64+N64+O64)/$B64</f>
        <v/>
      </c>
      <c r="AF64" s="15">
        <f>P64/$B64</f>
        <v/>
      </c>
    </row>
    <row r="65">
      <c r="A65" s="16" t="n">
        <v>62</v>
      </c>
      <c r="B65" s="16" t="n">
        <v>1</v>
      </c>
      <c r="D65" t="e">
        <v>#N/A</v>
      </c>
      <c r="E65" t="e">
        <v>#N/A</v>
      </c>
      <c r="F65" t="e">
        <v>#N/A</v>
      </c>
      <c r="G65" t="e">
        <v>#N/A</v>
      </c>
      <c r="H65" t="e">
        <v>#N/A</v>
      </c>
      <c r="I65" t="e">
        <v>#N/A</v>
      </c>
      <c r="J65" t="e">
        <v>#N/A</v>
      </c>
      <c r="K65" t="e">
        <v>#N/A</v>
      </c>
      <c r="L65" t="e">
        <v>#N/A</v>
      </c>
      <c r="M65" t="e">
        <v>#N/A</v>
      </c>
      <c r="N65" t="e">
        <v>#N/A</v>
      </c>
      <c r="O65" t="e">
        <v>#N/A</v>
      </c>
      <c r="P65" t="e">
        <v>#N/A</v>
      </c>
      <c r="R65" s="15">
        <f>D65/$B65</f>
        <v/>
      </c>
      <c r="S65" s="15">
        <f>E65/$B65</f>
        <v/>
      </c>
      <c r="T65" s="15">
        <f>F65/$B65</f>
        <v/>
      </c>
      <c r="U65" s="15">
        <f>G65/$B65</f>
        <v/>
      </c>
      <c r="V65" s="15">
        <f>H65/$B65</f>
        <v/>
      </c>
      <c r="W65" s="15">
        <f>I65/$B65</f>
        <v/>
      </c>
      <c r="X65" s="15">
        <f>J65/$B65</f>
        <v/>
      </c>
      <c r="Y65" s="15">
        <f>K65/$B65</f>
        <v/>
      </c>
      <c r="Z65" s="15">
        <f>L65/$B65</f>
        <v/>
      </c>
      <c r="AA65" s="15">
        <f>M65/$B65</f>
        <v/>
      </c>
      <c r="AB65" s="15">
        <f>N65/$B65</f>
        <v/>
      </c>
      <c r="AC65" s="15">
        <f>O65/$B65</f>
        <v/>
      </c>
      <c r="AD65" s="15">
        <f>(M65+N65+O65)/B65</f>
        <v/>
      </c>
      <c r="AE65" s="15">
        <f>(F65+I65+J65+K65+L65+M65+N65+O65)/$B65</f>
        <v/>
      </c>
      <c r="AF65" s="15">
        <f>P65/$B65</f>
        <v/>
      </c>
    </row>
    <row r="66">
      <c r="A66" s="16" t="n">
        <v>63</v>
      </c>
      <c r="B66" s="16" t="n">
        <v>1</v>
      </c>
      <c r="D66" t="e">
        <v>#N/A</v>
      </c>
      <c r="E66" t="e">
        <v>#N/A</v>
      </c>
      <c r="F66" t="e">
        <v>#N/A</v>
      </c>
      <c r="G66" t="e">
        <v>#N/A</v>
      </c>
      <c r="H66" t="e">
        <v>#N/A</v>
      </c>
      <c r="I66" t="e">
        <v>#N/A</v>
      </c>
      <c r="J66" t="e">
        <v>#N/A</v>
      </c>
      <c r="K66" t="e">
        <v>#N/A</v>
      </c>
      <c r="L66" t="e">
        <v>#N/A</v>
      </c>
      <c r="M66" t="e">
        <v>#N/A</v>
      </c>
      <c r="N66" t="e">
        <v>#N/A</v>
      </c>
      <c r="O66" t="e">
        <v>#N/A</v>
      </c>
      <c r="P66" t="e">
        <v>#N/A</v>
      </c>
      <c r="R66" s="15">
        <f>D66/$B66</f>
        <v/>
      </c>
      <c r="S66" s="15">
        <f>E66/$B66</f>
        <v/>
      </c>
      <c r="T66" s="15">
        <f>F66/$B66</f>
        <v/>
      </c>
      <c r="U66" s="15">
        <f>G66/$B66</f>
        <v/>
      </c>
      <c r="V66" s="15">
        <f>H66/$B66</f>
        <v/>
      </c>
      <c r="W66" s="15">
        <f>I66/$B66</f>
        <v/>
      </c>
      <c r="X66" s="15">
        <f>J66/$B66</f>
        <v/>
      </c>
      <c r="Y66" s="15">
        <f>K66/$B66</f>
        <v/>
      </c>
      <c r="Z66" s="15">
        <f>L66/$B66</f>
        <v/>
      </c>
      <c r="AA66" s="15">
        <f>M66/$B66</f>
        <v/>
      </c>
      <c r="AB66" s="15">
        <f>N66/$B66</f>
        <v/>
      </c>
      <c r="AC66" s="15">
        <f>O66/$B66</f>
        <v/>
      </c>
      <c r="AD66" s="15">
        <f>(M66+N66+O66)/B66</f>
        <v/>
      </c>
      <c r="AE66" s="15">
        <f>(F66+I66+J66+K66+L66+M66+N66+O66)/$B66</f>
        <v/>
      </c>
      <c r="AF66" s="15">
        <f>P66/$B66</f>
        <v/>
      </c>
    </row>
    <row r="67">
      <c r="A67" s="16" t="n">
        <v>64</v>
      </c>
      <c r="B67" s="16" t="n">
        <v>1</v>
      </c>
      <c r="D67" t="e">
        <v>#N/A</v>
      </c>
      <c r="E67" t="e">
        <v>#N/A</v>
      </c>
      <c r="F67" t="e">
        <v>#N/A</v>
      </c>
      <c r="G67" t="e">
        <v>#N/A</v>
      </c>
      <c r="H67" t="e">
        <v>#N/A</v>
      </c>
      <c r="I67" t="e">
        <v>#N/A</v>
      </c>
      <c r="J67" t="e">
        <v>#N/A</v>
      </c>
      <c r="K67" t="e">
        <v>#N/A</v>
      </c>
      <c r="L67" t="e">
        <v>#N/A</v>
      </c>
      <c r="M67" t="e">
        <v>#N/A</v>
      </c>
      <c r="N67" t="e">
        <v>#N/A</v>
      </c>
      <c r="O67" t="e">
        <v>#N/A</v>
      </c>
      <c r="P67" t="e">
        <v>#N/A</v>
      </c>
      <c r="R67" s="15">
        <f>D67/$B67</f>
        <v/>
      </c>
      <c r="S67" s="15">
        <f>E67/$B67</f>
        <v/>
      </c>
      <c r="T67" s="15">
        <f>F67/$B67</f>
        <v/>
      </c>
      <c r="U67" s="15">
        <f>G67/$B67</f>
        <v/>
      </c>
      <c r="V67" s="15">
        <f>H67/$B67</f>
        <v/>
      </c>
      <c r="W67" s="15">
        <f>I67/$B67</f>
        <v/>
      </c>
      <c r="X67" s="15">
        <f>J67/$B67</f>
        <v/>
      </c>
      <c r="Y67" s="15">
        <f>K67/$B67</f>
        <v/>
      </c>
      <c r="Z67" s="15">
        <f>L67/$B67</f>
        <v/>
      </c>
      <c r="AA67" s="15">
        <f>M67/$B67</f>
        <v/>
      </c>
      <c r="AB67" s="15">
        <f>N67/$B67</f>
        <v/>
      </c>
      <c r="AC67" s="15">
        <f>O67/$B67</f>
        <v/>
      </c>
      <c r="AD67" s="15">
        <f>(M67+N67+O67)/B67</f>
        <v/>
      </c>
      <c r="AE67" s="15">
        <f>(F67+I67+J67+K67+L67+M67+N67+O67)/$B67</f>
        <v/>
      </c>
      <c r="AF67" s="15">
        <f>P67/$B67</f>
        <v/>
      </c>
    </row>
    <row r="68">
      <c r="A68" s="16" t="n">
        <v>65</v>
      </c>
      <c r="B68" s="16" t="n">
        <v>1</v>
      </c>
      <c r="D68" t="e">
        <v>#N/A</v>
      </c>
      <c r="E68" t="e">
        <v>#N/A</v>
      </c>
      <c r="F68" t="e">
        <v>#N/A</v>
      </c>
      <c r="G68" t="e">
        <v>#N/A</v>
      </c>
      <c r="H68" t="e">
        <v>#N/A</v>
      </c>
      <c r="I68" t="e">
        <v>#N/A</v>
      </c>
      <c r="J68" t="e">
        <v>#N/A</v>
      </c>
      <c r="K68" t="e">
        <v>#N/A</v>
      </c>
      <c r="L68" t="e">
        <v>#N/A</v>
      </c>
      <c r="M68" t="e">
        <v>#N/A</v>
      </c>
      <c r="N68" t="e">
        <v>#N/A</v>
      </c>
      <c r="O68" t="e">
        <v>#N/A</v>
      </c>
      <c r="P68" t="e">
        <v>#N/A</v>
      </c>
      <c r="R68" s="15">
        <f>D68/$B68</f>
        <v/>
      </c>
      <c r="S68" s="15">
        <f>E68/$B68</f>
        <v/>
      </c>
      <c r="T68" s="15">
        <f>F68/$B68</f>
        <v/>
      </c>
      <c r="U68" s="15">
        <f>G68/$B68</f>
        <v/>
      </c>
      <c r="V68" s="15">
        <f>H68/$B68</f>
        <v/>
      </c>
      <c r="W68" s="15">
        <f>I68/$B68</f>
        <v/>
      </c>
      <c r="X68" s="15">
        <f>J68/$B68</f>
        <v/>
      </c>
      <c r="Y68" s="15">
        <f>K68/$B68</f>
        <v/>
      </c>
      <c r="Z68" s="15">
        <f>L68/$B68</f>
        <v/>
      </c>
      <c r="AA68" s="15">
        <f>M68/$B68</f>
        <v/>
      </c>
      <c r="AB68" s="15">
        <f>N68/$B68</f>
        <v/>
      </c>
      <c r="AC68" s="15">
        <f>O68/$B68</f>
        <v/>
      </c>
      <c r="AD68" s="15">
        <f>(M68+N68+O68)/B68</f>
        <v/>
      </c>
      <c r="AE68" s="15">
        <f>(F68+I68+J68+K68+L68+M68+N68+O68)/$B68</f>
        <v/>
      </c>
      <c r="AF68" s="15">
        <f>P68/$B68</f>
        <v/>
      </c>
    </row>
    <row r="69">
      <c r="A69" s="16" t="n">
        <v>66</v>
      </c>
      <c r="B69" s="16" t="n">
        <v>1</v>
      </c>
      <c r="D69" t="e">
        <v>#N/A</v>
      </c>
      <c r="E69" t="e">
        <v>#N/A</v>
      </c>
      <c r="F69" t="e">
        <v>#N/A</v>
      </c>
      <c r="G69" t="e">
        <v>#N/A</v>
      </c>
      <c r="H69" t="e">
        <v>#N/A</v>
      </c>
      <c r="I69" t="e">
        <v>#N/A</v>
      </c>
      <c r="J69" t="e">
        <v>#N/A</v>
      </c>
      <c r="K69" t="e">
        <v>#N/A</v>
      </c>
      <c r="L69" t="e">
        <v>#N/A</v>
      </c>
      <c r="M69" t="e">
        <v>#N/A</v>
      </c>
      <c r="N69" t="e">
        <v>#N/A</v>
      </c>
      <c r="O69" t="e">
        <v>#N/A</v>
      </c>
      <c r="P69" t="e">
        <v>#N/A</v>
      </c>
      <c r="R69" s="15">
        <f>D69/$B69</f>
        <v/>
      </c>
      <c r="S69" s="15">
        <f>E69/$B69</f>
        <v/>
      </c>
      <c r="T69" s="15">
        <f>F69/$B69</f>
        <v/>
      </c>
      <c r="U69" s="15">
        <f>G69/$B69</f>
        <v/>
      </c>
      <c r="V69" s="15">
        <f>H69/$B69</f>
        <v/>
      </c>
      <c r="W69" s="15">
        <f>I69/$B69</f>
        <v/>
      </c>
      <c r="X69" s="15">
        <f>J69/$B69</f>
        <v/>
      </c>
      <c r="Y69" s="15">
        <f>K69/$B69</f>
        <v/>
      </c>
      <c r="Z69" s="15">
        <f>L69/$B69</f>
        <v/>
      </c>
      <c r="AA69" s="15">
        <f>M69/$B69</f>
        <v/>
      </c>
      <c r="AB69" s="15">
        <f>N69/$B69</f>
        <v/>
      </c>
      <c r="AC69" s="15">
        <f>O69/$B69</f>
        <v/>
      </c>
      <c r="AD69" s="15">
        <f>(M69+N69+O69)/B69</f>
        <v/>
      </c>
      <c r="AE69" s="15">
        <f>(F69+I69+J69+K69+L69+M69+N69+O69)/$B69</f>
        <v/>
      </c>
      <c r="AF69" s="15">
        <f>P69/$B69</f>
        <v/>
      </c>
    </row>
    <row r="70">
      <c r="A70" s="16" t="n">
        <v>67</v>
      </c>
      <c r="B70" s="16" t="n">
        <v>1</v>
      </c>
      <c r="D70" t="e">
        <v>#N/A</v>
      </c>
      <c r="E70" t="e">
        <v>#N/A</v>
      </c>
      <c r="F70" t="e">
        <v>#N/A</v>
      </c>
      <c r="G70" t="e">
        <v>#N/A</v>
      </c>
      <c r="H70" t="e">
        <v>#N/A</v>
      </c>
      <c r="I70" t="e">
        <v>#N/A</v>
      </c>
      <c r="J70" t="e">
        <v>#N/A</v>
      </c>
      <c r="K70" t="e">
        <v>#N/A</v>
      </c>
      <c r="L70" t="e">
        <v>#N/A</v>
      </c>
      <c r="M70" t="e">
        <v>#N/A</v>
      </c>
      <c r="N70" t="e">
        <v>#N/A</v>
      </c>
      <c r="O70" t="e">
        <v>#N/A</v>
      </c>
      <c r="P70" t="e">
        <v>#N/A</v>
      </c>
      <c r="R70" s="15">
        <f>D70/$B70</f>
        <v/>
      </c>
      <c r="S70" s="15">
        <f>E70/$B70</f>
        <v/>
      </c>
      <c r="T70" s="15">
        <f>F70/$B70</f>
        <v/>
      </c>
      <c r="U70" s="15">
        <f>G70/$B70</f>
        <v/>
      </c>
      <c r="V70" s="15">
        <f>H70/$B70</f>
        <v/>
      </c>
      <c r="W70" s="15">
        <f>I70/$B70</f>
        <v/>
      </c>
      <c r="X70" s="15">
        <f>J70/$B70</f>
        <v/>
      </c>
      <c r="Y70" s="15">
        <f>K70/$B70</f>
        <v/>
      </c>
      <c r="Z70" s="15">
        <f>L70/$B70</f>
        <v/>
      </c>
      <c r="AA70" s="15">
        <f>M70/$B70</f>
        <v/>
      </c>
      <c r="AB70" s="15">
        <f>N70/$B70</f>
        <v/>
      </c>
      <c r="AC70" s="15">
        <f>O70/$B70</f>
        <v/>
      </c>
      <c r="AD70" s="15">
        <f>(M70+N70+O70)/B70</f>
        <v/>
      </c>
      <c r="AE70" s="15">
        <f>(F70+I70+J70+K70+L70+M70+N70+O70)/$B70</f>
        <v/>
      </c>
      <c r="AF70" s="15">
        <f>P70/$B70</f>
        <v/>
      </c>
    </row>
    <row r="71">
      <c r="A71" s="16" t="n">
        <v>68</v>
      </c>
      <c r="B71" s="16" t="n">
        <v>1</v>
      </c>
      <c r="D71" t="e">
        <v>#N/A</v>
      </c>
      <c r="E71" t="e">
        <v>#N/A</v>
      </c>
      <c r="F71" t="e">
        <v>#N/A</v>
      </c>
      <c r="G71" t="e">
        <v>#N/A</v>
      </c>
      <c r="H71" t="e">
        <v>#N/A</v>
      </c>
      <c r="I71" t="e">
        <v>#N/A</v>
      </c>
      <c r="J71" t="e">
        <v>#N/A</v>
      </c>
      <c r="K71" t="e">
        <v>#N/A</v>
      </c>
      <c r="L71" t="e">
        <v>#N/A</v>
      </c>
      <c r="M71" t="e">
        <v>#N/A</v>
      </c>
      <c r="N71" t="e">
        <v>#N/A</v>
      </c>
      <c r="O71" t="e">
        <v>#N/A</v>
      </c>
      <c r="P71" t="e">
        <v>#N/A</v>
      </c>
      <c r="R71" s="15">
        <f>D71/$B71</f>
        <v/>
      </c>
      <c r="S71" s="15">
        <f>E71/$B71</f>
        <v/>
      </c>
      <c r="T71" s="15">
        <f>F71/$B71</f>
        <v/>
      </c>
      <c r="U71" s="15">
        <f>G71/$B71</f>
        <v/>
      </c>
      <c r="V71" s="15">
        <f>H71/$B71</f>
        <v/>
      </c>
      <c r="W71" s="15">
        <f>I71/$B71</f>
        <v/>
      </c>
      <c r="X71" s="15">
        <f>J71/$B71</f>
        <v/>
      </c>
      <c r="Y71" s="15">
        <f>K71/$B71</f>
        <v/>
      </c>
      <c r="Z71" s="15">
        <f>L71/$B71</f>
        <v/>
      </c>
      <c r="AA71" s="15">
        <f>M71/$B71</f>
        <v/>
      </c>
      <c r="AB71" s="15">
        <f>N71/$B71</f>
        <v/>
      </c>
      <c r="AC71" s="15">
        <f>O71/$B71</f>
        <v/>
      </c>
      <c r="AD71" s="15">
        <f>(M71+N71+O71)/B71</f>
        <v/>
      </c>
      <c r="AE71" s="15">
        <f>(F71+I71+J71+K71+L71+M71+N71+O71)/$B71</f>
        <v/>
      </c>
      <c r="AF71" s="15">
        <f>P71/$B71</f>
        <v/>
      </c>
    </row>
    <row r="72">
      <c r="A72" s="16" t="n">
        <v>69</v>
      </c>
      <c r="B72" s="16" t="n">
        <v>1</v>
      </c>
      <c r="D72" t="e">
        <v>#N/A</v>
      </c>
      <c r="E72" t="e">
        <v>#N/A</v>
      </c>
      <c r="F72" t="e">
        <v>#N/A</v>
      </c>
      <c r="G72" t="e">
        <v>#N/A</v>
      </c>
      <c r="H72" t="e">
        <v>#N/A</v>
      </c>
      <c r="I72" t="e">
        <v>#N/A</v>
      </c>
      <c r="J72" t="e">
        <v>#N/A</v>
      </c>
      <c r="K72" t="e">
        <v>#N/A</v>
      </c>
      <c r="L72" t="e">
        <v>#N/A</v>
      </c>
      <c r="M72" t="e">
        <v>#N/A</v>
      </c>
      <c r="N72" t="e">
        <v>#N/A</v>
      </c>
      <c r="O72" t="e">
        <v>#N/A</v>
      </c>
      <c r="P72" t="e">
        <v>#N/A</v>
      </c>
      <c r="R72" s="15">
        <f>D72/$B72</f>
        <v/>
      </c>
      <c r="S72" s="15">
        <f>E72/$B72</f>
        <v/>
      </c>
      <c r="T72" s="15">
        <f>F72/$B72</f>
        <v/>
      </c>
      <c r="U72" s="15">
        <f>G72/$B72</f>
        <v/>
      </c>
      <c r="V72" s="15">
        <f>H72/$B72</f>
        <v/>
      </c>
      <c r="W72" s="15">
        <f>I72/$B72</f>
        <v/>
      </c>
      <c r="X72" s="15">
        <f>J72/$B72</f>
        <v/>
      </c>
      <c r="Y72" s="15">
        <f>K72/$B72</f>
        <v/>
      </c>
      <c r="Z72" s="15">
        <f>L72/$B72</f>
        <v/>
      </c>
      <c r="AA72" s="15">
        <f>M72/$B72</f>
        <v/>
      </c>
      <c r="AB72" s="15">
        <f>N72/$B72</f>
        <v/>
      </c>
      <c r="AC72" s="15">
        <f>O72/$B72</f>
        <v/>
      </c>
      <c r="AD72" s="15">
        <f>(M72+N72+O72)/B72</f>
        <v/>
      </c>
      <c r="AE72" s="15">
        <f>(F72+I72+J72+K72+L72+M72+N72+O72)/$B72</f>
        <v/>
      </c>
      <c r="AF72" s="15">
        <f>P72/$B72</f>
        <v/>
      </c>
    </row>
    <row r="73">
      <c r="A73" s="16" t="n">
        <v>70</v>
      </c>
      <c r="B73" s="16" t="n">
        <v>1</v>
      </c>
      <c r="D73" t="e">
        <v>#N/A</v>
      </c>
      <c r="E73" t="e">
        <v>#N/A</v>
      </c>
      <c r="F73" t="e">
        <v>#N/A</v>
      </c>
      <c r="G73" t="e">
        <v>#N/A</v>
      </c>
      <c r="H73" t="e">
        <v>#N/A</v>
      </c>
      <c r="I73" t="e">
        <v>#N/A</v>
      </c>
      <c r="J73" t="e">
        <v>#N/A</v>
      </c>
      <c r="K73" t="e">
        <v>#N/A</v>
      </c>
      <c r="L73" t="e">
        <v>#N/A</v>
      </c>
      <c r="M73" t="e">
        <v>#N/A</v>
      </c>
      <c r="N73" t="e">
        <v>#N/A</v>
      </c>
      <c r="O73" t="e">
        <v>#N/A</v>
      </c>
      <c r="P73" t="e">
        <v>#N/A</v>
      </c>
      <c r="R73" s="15">
        <f>D73/$B73</f>
        <v/>
      </c>
      <c r="S73" s="15">
        <f>E73/$B73</f>
        <v/>
      </c>
      <c r="T73" s="15">
        <f>F73/$B73</f>
        <v/>
      </c>
      <c r="U73" s="15">
        <f>G73/$B73</f>
        <v/>
      </c>
      <c r="V73" s="15">
        <f>H73/$B73</f>
        <v/>
      </c>
      <c r="W73" s="15">
        <f>I73/$B73</f>
        <v/>
      </c>
      <c r="X73" s="15">
        <f>J73/$B73</f>
        <v/>
      </c>
      <c r="Y73" s="15">
        <f>K73/$B73</f>
        <v/>
      </c>
      <c r="Z73" s="15">
        <f>L73/$B73</f>
        <v/>
      </c>
      <c r="AA73" s="15">
        <f>M73/$B73</f>
        <v/>
      </c>
      <c r="AB73" s="15">
        <f>N73/$B73</f>
        <v/>
      </c>
      <c r="AC73" s="15">
        <f>O73/$B73</f>
        <v/>
      </c>
      <c r="AD73" s="15">
        <f>(M73+N73+O73)/B73</f>
        <v/>
      </c>
      <c r="AE73" s="15">
        <f>(F73+I73+J73+K73+L73+M73+N73+O73)/$B73</f>
        <v/>
      </c>
      <c r="AF73" s="15">
        <f>P73/$B73</f>
        <v/>
      </c>
    </row>
    <row r="74">
      <c r="A74" s="16" t="n">
        <v>71</v>
      </c>
      <c r="B74" s="16" t="n">
        <v>1</v>
      </c>
      <c r="D74" t="e">
        <v>#N/A</v>
      </c>
      <c r="E74" t="e">
        <v>#N/A</v>
      </c>
      <c r="F74" t="e">
        <v>#N/A</v>
      </c>
      <c r="G74" t="e">
        <v>#N/A</v>
      </c>
      <c r="H74" t="e">
        <v>#N/A</v>
      </c>
      <c r="I74" t="e">
        <v>#N/A</v>
      </c>
      <c r="J74" t="e">
        <v>#N/A</v>
      </c>
      <c r="K74" t="e">
        <v>#N/A</v>
      </c>
      <c r="L74" t="e">
        <v>#N/A</v>
      </c>
      <c r="M74" t="e">
        <v>#N/A</v>
      </c>
      <c r="N74" t="e">
        <v>#N/A</v>
      </c>
      <c r="O74" t="e">
        <v>#N/A</v>
      </c>
      <c r="P74" t="e">
        <v>#N/A</v>
      </c>
      <c r="R74" s="15">
        <f>D74/$B74</f>
        <v/>
      </c>
      <c r="S74" s="15">
        <f>E74/$B74</f>
        <v/>
      </c>
      <c r="T74" s="15">
        <f>F74/$B74</f>
        <v/>
      </c>
      <c r="U74" s="15">
        <f>G74/$B74</f>
        <v/>
      </c>
      <c r="V74" s="15">
        <f>H74/$B74</f>
        <v/>
      </c>
      <c r="W74" s="15">
        <f>I74/$B74</f>
        <v/>
      </c>
      <c r="X74" s="15">
        <f>J74/$B74</f>
        <v/>
      </c>
      <c r="Y74" s="15">
        <f>K74/$B74</f>
        <v/>
      </c>
      <c r="Z74" s="15">
        <f>L74/$B74</f>
        <v/>
      </c>
      <c r="AA74" s="15">
        <f>M74/$B74</f>
        <v/>
      </c>
      <c r="AB74" s="15">
        <f>N74/$B74</f>
        <v/>
      </c>
      <c r="AC74" s="15">
        <f>O74/$B74</f>
        <v/>
      </c>
      <c r="AD74" s="15">
        <f>(M74+N74+O74)/B74</f>
        <v/>
      </c>
      <c r="AE74" s="15">
        <f>(F74+I74+J74+K74+L74+M74+N74+O74)/$B74</f>
        <v/>
      </c>
      <c r="AF74" s="15">
        <f>P74/$B74</f>
        <v/>
      </c>
    </row>
    <row r="75">
      <c r="A75" s="16" t="n">
        <v>72</v>
      </c>
      <c r="B75" s="16" t="n">
        <v>1</v>
      </c>
      <c r="D75" t="e">
        <v>#N/A</v>
      </c>
      <c r="E75" t="e">
        <v>#N/A</v>
      </c>
      <c r="F75" t="e">
        <v>#N/A</v>
      </c>
      <c r="G75" t="e">
        <v>#N/A</v>
      </c>
      <c r="H75" t="e">
        <v>#N/A</v>
      </c>
      <c r="I75" t="e">
        <v>#N/A</v>
      </c>
      <c r="J75" t="e">
        <v>#N/A</v>
      </c>
      <c r="K75" t="e">
        <v>#N/A</v>
      </c>
      <c r="L75" t="e">
        <v>#N/A</v>
      </c>
      <c r="M75" t="e">
        <v>#N/A</v>
      </c>
      <c r="N75" t="e">
        <v>#N/A</v>
      </c>
      <c r="O75" t="e">
        <v>#N/A</v>
      </c>
      <c r="P75" t="e">
        <v>#N/A</v>
      </c>
      <c r="R75" s="15">
        <f>D75/$B75</f>
        <v/>
      </c>
      <c r="S75" s="15">
        <f>E75/$B75</f>
        <v/>
      </c>
      <c r="T75" s="15">
        <f>F75/$B75</f>
        <v/>
      </c>
      <c r="U75" s="15">
        <f>G75/$B75</f>
        <v/>
      </c>
      <c r="V75" s="15">
        <f>H75/$B75</f>
        <v/>
      </c>
      <c r="W75" s="15">
        <f>I75/$B75</f>
        <v/>
      </c>
      <c r="X75" s="15">
        <f>J75/$B75</f>
        <v/>
      </c>
      <c r="Y75" s="15">
        <f>K75/$B75</f>
        <v/>
      </c>
      <c r="Z75" s="15">
        <f>L75/$B75</f>
        <v/>
      </c>
      <c r="AA75" s="15">
        <f>M75/$B75</f>
        <v/>
      </c>
      <c r="AB75" s="15">
        <f>N75/$B75</f>
        <v/>
      </c>
      <c r="AC75" s="15">
        <f>O75/$B75</f>
        <v/>
      </c>
      <c r="AD75" s="15">
        <f>(M75+N75+O75)/B75</f>
        <v/>
      </c>
      <c r="AE75" s="15">
        <f>(F75+I75+J75+K75+L75+M75+N75+O75)/$B75</f>
        <v/>
      </c>
      <c r="AF75" s="15">
        <f>P75/$B75</f>
        <v/>
      </c>
    </row>
    <row r="76">
      <c r="A76" s="16" t="n">
        <v>73</v>
      </c>
      <c r="B76" s="16" t="n">
        <v>1</v>
      </c>
      <c r="D76" t="e">
        <v>#N/A</v>
      </c>
      <c r="E76" t="e">
        <v>#N/A</v>
      </c>
      <c r="F76" t="e">
        <v>#N/A</v>
      </c>
      <c r="G76" t="e">
        <v>#N/A</v>
      </c>
      <c r="H76" t="e">
        <v>#N/A</v>
      </c>
      <c r="I76" t="e">
        <v>#N/A</v>
      </c>
      <c r="J76" t="e">
        <v>#N/A</v>
      </c>
      <c r="K76" t="e">
        <v>#N/A</v>
      </c>
      <c r="L76" t="e">
        <v>#N/A</v>
      </c>
      <c r="M76" t="e">
        <v>#N/A</v>
      </c>
      <c r="N76" t="e">
        <v>#N/A</v>
      </c>
      <c r="O76" t="e">
        <v>#N/A</v>
      </c>
      <c r="P76" t="e">
        <v>#N/A</v>
      </c>
      <c r="R76" s="15">
        <f>D76/$B76</f>
        <v/>
      </c>
      <c r="S76" s="15">
        <f>E76/$B76</f>
        <v/>
      </c>
      <c r="T76" s="15">
        <f>F76/$B76</f>
        <v/>
      </c>
      <c r="U76" s="15">
        <f>G76/$B76</f>
        <v/>
      </c>
      <c r="V76" s="15">
        <f>H76/$B76</f>
        <v/>
      </c>
      <c r="W76" s="15">
        <f>I76/$B76</f>
        <v/>
      </c>
      <c r="X76" s="15">
        <f>J76/$B76</f>
        <v/>
      </c>
      <c r="Y76" s="15">
        <f>K76/$B76</f>
        <v/>
      </c>
      <c r="Z76" s="15">
        <f>L76/$B76</f>
        <v/>
      </c>
      <c r="AA76" s="15">
        <f>M76/$B76</f>
        <v/>
      </c>
      <c r="AB76" s="15">
        <f>N76/$B76</f>
        <v/>
      </c>
      <c r="AC76" s="15">
        <f>O76/$B76</f>
        <v/>
      </c>
      <c r="AD76" s="15">
        <f>(M76+N76+O76)/B76</f>
        <v/>
      </c>
      <c r="AE76" s="15">
        <f>(F76+I76+J76+K76+L76+M76+N76+O76)/$B76</f>
        <v/>
      </c>
      <c r="AF76" s="15">
        <f>P76/$B76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5"/>
  <sheetViews>
    <sheetView topLeftCell="C1" workbookViewId="0">
      <selection activeCell="V13" sqref="V13"/>
    </sheetView>
  </sheetViews>
  <sheetFormatPr baseColWidth="8" defaultRowHeight="15" outlineLevelCol="0"/>
  <cols>
    <col width="15.28515625" bestFit="1" customWidth="1" style="20" min="2" max="2"/>
    <col width="2.28515625" customWidth="1" style="6" min="7" max="7"/>
    <col width="1.7109375" customWidth="1" style="6" min="11" max="11"/>
    <col width="8.85546875" customWidth="1" style="20" min="12" max="22"/>
    <col width="1.42578125" customWidth="1" style="6" min="23" max="23"/>
  </cols>
  <sheetData>
    <row r="1">
      <c r="D1" s="11" t="inlineStr">
        <is>
          <t>BSL</t>
        </is>
      </c>
      <c r="E1" s="11" t="inlineStr">
        <is>
          <t>BSL</t>
        </is>
      </c>
      <c r="F1" s="11" t="inlineStr">
        <is>
          <t xml:space="preserve">Target </t>
        </is>
      </c>
      <c r="G1" s="7" t="n"/>
      <c r="H1" s="11" t="inlineStr">
        <is>
          <t>Alt</t>
        </is>
      </c>
      <c r="I1" s="11" t="inlineStr">
        <is>
          <t>Alt</t>
        </is>
      </c>
      <c r="J1" s="11" t="inlineStr">
        <is>
          <t>Target</t>
        </is>
      </c>
      <c r="K1" s="7" t="n"/>
      <c r="L1" s="9" t="inlineStr">
        <is>
          <t>Asteroids</t>
        </is>
      </c>
      <c r="M1" s="12" t="inlineStr">
        <is>
          <t>Barrel Roll</t>
        </is>
      </c>
      <c r="N1" s="12" t="inlineStr">
        <is>
          <t>Spin</t>
        </is>
      </c>
      <c r="O1" s="12" t="inlineStr">
        <is>
          <t>Speed</t>
        </is>
      </c>
      <c r="P1" s="12" t="inlineStr">
        <is>
          <t>Coin</t>
        </is>
      </c>
      <c r="Q1" s="12" t="inlineStr">
        <is>
          <t>Flame</t>
        </is>
      </c>
      <c r="R1" s="12" t="inlineStr">
        <is>
          <t>Red</t>
        </is>
      </c>
      <c r="S1" s="12" t="inlineStr">
        <is>
          <t>Blue</t>
        </is>
      </c>
      <c r="T1" s="12" t="inlineStr">
        <is>
          <t xml:space="preserve">Yellow </t>
        </is>
      </c>
      <c r="U1" s="12" t="inlineStr">
        <is>
          <t xml:space="preserve">Tokens </t>
        </is>
      </c>
      <c r="V1" s="12" t="inlineStr">
        <is>
          <t>Crash</t>
        </is>
      </c>
      <c r="X1" t="inlineStr">
        <is>
          <t>Phase Lines</t>
        </is>
      </c>
      <c r="AA1" t="inlineStr">
        <is>
          <t>Dotted PL</t>
        </is>
      </c>
    </row>
    <row r="2">
      <c r="A2" t="inlineStr">
        <is>
          <t>Session #</t>
        </is>
      </c>
      <c r="B2" t="inlineStr">
        <is>
          <t>Condition</t>
        </is>
      </c>
      <c r="D2" s="11" t="inlineStr">
        <is>
          <t>Rate</t>
        </is>
      </c>
      <c r="E2" s="11" t="inlineStr">
        <is>
          <t>Reinf</t>
        </is>
      </c>
      <c r="F2" s="11" t="inlineStr">
        <is>
          <t>Rate</t>
        </is>
      </c>
      <c r="G2" s="7" t="n"/>
      <c r="H2" s="11" t="inlineStr">
        <is>
          <t>Rate</t>
        </is>
      </c>
      <c r="I2" s="11" t="inlineStr">
        <is>
          <t>Reinf</t>
        </is>
      </c>
      <c r="J2" s="11" t="inlineStr">
        <is>
          <t>Rate</t>
        </is>
      </c>
      <c r="K2" s="7" t="n"/>
      <c r="L2" s="12" t="inlineStr">
        <is>
          <t>Freq</t>
        </is>
      </c>
      <c r="M2" s="12" t="inlineStr">
        <is>
          <t>Freq</t>
        </is>
      </c>
      <c r="N2" s="12" t="inlineStr">
        <is>
          <t>Freq</t>
        </is>
      </c>
      <c r="O2" s="12" t="inlineStr">
        <is>
          <t>Freq</t>
        </is>
      </c>
      <c r="P2" s="12" t="inlineStr">
        <is>
          <t>Freq</t>
        </is>
      </c>
      <c r="Q2" s="12" t="inlineStr">
        <is>
          <t>Freq</t>
        </is>
      </c>
      <c r="R2" s="12" t="inlineStr">
        <is>
          <t>Freq</t>
        </is>
      </c>
      <c r="S2" s="12" t="inlineStr">
        <is>
          <t>Freq</t>
        </is>
      </c>
      <c r="T2" s="12" t="inlineStr">
        <is>
          <t>Freq</t>
        </is>
      </c>
      <c r="U2" s="12" t="inlineStr">
        <is>
          <t xml:space="preserve">Combined </t>
        </is>
      </c>
      <c r="V2" s="12" t="inlineStr">
        <is>
          <t>Freq</t>
        </is>
      </c>
      <c r="X2" t="n">
        <v>4.5</v>
      </c>
      <c r="Y2" t="n">
        <v>0</v>
      </c>
      <c r="AA2" t="n">
        <v>11.5</v>
      </c>
      <c r="AB2" t="n">
        <v>0</v>
      </c>
    </row>
    <row r="3">
      <c r="A3" t="n">
        <v>1</v>
      </c>
      <c r="B3">
        <f>'Data Entry'!B6</f>
        <v/>
      </c>
      <c r="C3" t="n">
        <v>1</v>
      </c>
      <c r="D3">
        <f>'Data Entry'!C8</f>
        <v/>
      </c>
      <c r="E3">
        <f>'Data Entry'!C11</f>
        <v/>
      </c>
      <c r="F3">
        <f>D3</f>
        <v/>
      </c>
      <c r="H3" t="e">
        <v>#N/A</v>
      </c>
      <c r="I3" t="e">
        <v>#N/A</v>
      </c>
      <c r="J3" t="e">
        <v>#N/A</v>
      </c>
      <c r="L3">
        <f>'Data Entry'!B10</f>
        <v/>
      </c>
      <c r="M3">
        <f>'Data Entry'!$G7</f>
        <v/>
      </c>
      <c r="N3">
        <f>'Data Entry'!$G8</f>
        <v/>
      </c>
      <c r="O3">
        <f>'Data Entry'!$G16</f>
        <v/>
      </c>
      <c r="P3">
        <f>'Data Entry'!$G10</f>
        <v/>
      </c>
      <c r="Q3">
        <f>'Data Entry'!I7</f>
        <v/>
      </c>
      <c r="R3">
        <f>'Data Entry'!I15</f>
        <v/>
      </c>
      <c r="S3">
        <f>'Data Entry'!I9</f>
        <v/>
      </c>
      <c r="T3">
        <f>'Data Entry'!I10</f>
        <v/>
      </c>
      <c r="U3">
        <f>R3+S3+T3</f>
        <v/>
      </c>
      <c r="V3">
        <f>'Data Entry'!I11</f>
        <v/>
      </c>
      <c r="X3" t="n">
        <v>4.5</v>
      </c>
      <c r="Y3" t="n">
        <v>1000</v>
      </c>
      <c r="AA3" t="n">
        <v>11.5</v>
      </c>
      <c r="AB3" t="n">
        <v>1000</v>
      </c>
    </row>
    <row r="4">
      <c r="A4" t="n">
        <v>2</v>
      </c>
      <c r="B4">
        <f>'Data Entry'!B13</f>
        <v/>
      </c>
      <c r="C4" t="n">
        <v>2</v>
      </c>
      <c r="D4">
        <f>'Data Entry'!C15</f>
        <v/>
      </c>
      <c r="E4">
        <f>'Data Entry'!C18</f>
        <v/>
      </c>
      <c r="F4">
        <f>D4</f>
        <v/>
      </c>
      <c r="H4" t="e">
        <v>#N/A</v>
      </c>
      <c r="I4" t="e">
        <v>#N/A</v>
      </c>
      <c r="J4" t="e">
        <v>#N/A</v>
      </c>
      <c r="L4">
        <f>'Data Entry'!B17</f>
        <v/>
      </c>
      <c r="M4">
        <f>'Data Entry'!$G14</f>
        <v/>
      </c>
      <c r="N4">
        <f>'Data Entry'!$G15</f>
        <v/>
      </c>
      <c r="O4">
        <f>'Data Entry'!$G10</f>
        <v/>
      </c>
      <c r="P4">
        <f>'Data Entry'!$G16</f>
        <v/>
      </c>
      <c r="Q4">
        <f>'Data Entry'!I14</f>
        <v/>
      </c>
      <c r="R4">
        <f>'Data Entry'!I15</f>
        <v/>
      </c>
      <c r="S4">
        <f>'Data Entry'!I16</f>
        <v/>
      </c>
      <c r="T4">
        <f>'Data Entry'!I17</f>
        <v/>
      </c>
      <c r="U4">
        <f>R4+S4+T4</f>
        <v/>
      </c>
      <c r="V4">
        <f>'Data Entry'!I18</f>
        <v/>
      </c>
    </row>
    <row r="5">
      <c r="A5" t="n">
        <v>3</v>
      </c>
      <c r="B5">
        <f>'Data Entry'!B20</f>
        <v/>
      </c>
      <c r="C5" t="n">
        <v>3</v>
      </c>
      <c r="D5">
        <f>'Data Entry'!C22</f>
        <v/>
      </c>
      <c r="E5">
        <f>'Data Entry'!C25</f>
        <v/>
      </c>
      <c r="F5">
        <f>D5</f>
        <v/>
      </c>
      <c r="H5" t="e">
        <v>#N/A</v>
      </c>
      <c r="I5" t="e">
        <v>#N/A</v>
      </c>
      <c r="J5" t="e">
        <v>#N/A</v>
      </c>
      <c r="L5">
        <f>'Data Entry'!B24</f>
        <v/>
      </c>
      <c r="M5">
        <f>'Data Entry'!$G21</f>
        <v/>
      </c>
      <c r="N5">
        <f>'Data Entry'!$G22</f>
        <v/>
      </c>
      <c r="O5">
        <f>'Data Entry'!$G23</f>
        <v/>
      </c>
      <c r="P5">
        <f>'Data Entry'!$G24</f>
        <v/>
      </c>
      <c r="Q5">
        <f>'Data Entry'!I21</f>
        <v/>
      </c>
      <c r="R5">
        <f>'Data Entry'!I22</f>
        <v/>
      </c>
      <c r="S5">
        <f>'Data Entry'!I23</f>
        <v/>
      </c>
      <c r="T5">
        <f>'Data Entry'!I24</f>
        <v/>
      </c>
      <c r="U5">
        <f>R5+S5+T5</f>
        <v/>
      </c>
      <c r="V5">
        <f>'Data Entry'!I25</f>
        <v/>
      </c>
      <c r="X5" t="n">
        <v>7.5</v>
      </c>
      <c r="Y5" t="n">
        <v>0</v>
      </c>
      <c r="AA5" t="n">
        <v>12.5</v>
      </c>
      <c r="AB5" t="n">
        <v>0</v>
      </c>
    </row>
    <row r="6">
      <c r="A6" t="n">
        <v>4</v>
      </c>
      <c r="B6">
        <f>'Data Entry'!B45</f>
        <v/>
      </c>
      <c r="C6" t="n">
        <v>4</v>
      </c>
      <c r="D6">
        <f>'Data Entry'!C29</f>
        <v/>
      </c>
      <c r="E6">
        <f>'Data Entry'!C29</f>
        <v/>
      </c>
      <c r="F6">
        <f>D6</f>
        <v/>
      </c>
      <c r="H6">
        <f>'Data Entry'!C31</f>
        <v/>
      </c>
      <c r="I6">
        <f>'Data Entry'!C33</f>
        <v/>
      </c>
      <c r="J6" t="e">
        <v>#N/A</v>
      </c>
      <c r="L6">
        <f>'Data Entry'!B32</f>
        <v/>
      </c>
      <c r="M6">
        <f>'Data Entry'!$G28</f>
        <v/>
      </c>
      <c r="N6">
        <f>'Data Entry'!$G29</f>
        <v/>
      </c>
      <c r="O6">
        <f>'Data Entry'!$G30</f>
        <v/>
      </c>
      <c r="P6">
        <f>'Data Entry'!$G31</f>
        <v/>
      </c>
      <c r="Q6">
        <f>'Data Entry'!I28</f>
        <v/>
      </c>
      <c r="R6">
        <f>'Data Entry'!I29</f>
        <v/>
      </c>
      <c r="S6">
        <f>'Data Entry'!I30</f>
        <v/>
      </c>
      <c r="T6">
        <f>'Data Entry'!I31</f>
        <v/>
      </c>
      <c r="U6">
        <f>R6+S6+T6</f>
        <v/>
      </c>
      <c r="V6">
        <f>'Data Entry'!I32</f>
        <v/>
      </c>
      <c r="X6" t="n">
        <v>7.5</v>
      </c>
      <c r="Y6" t="n">
        <v>1000</v>
      </c>
      <c r="AA6" t="n">
        <v>12.5</v>
      </c>
      <c r="AB6" t="n">
        <v>1000</v>
      </c>
    </row>
    <row r="7">
      <c r="A7" t="n">
        <v>5</v>
      </c>
      <c r="B7">
        <f>'Data Entry'!B53</f>
        <v/>
      </c>
      <c r="C7" t="n">
        <v>5</v>
      </c>
      <c r="D7">
        <f>'Data Entry'!$C37</f>
        <v/>
      </c>
      <c r="E7" t="n">
        <v>0</v>
      </c>
      <c r="F7">
        <f>D7</f>
        <v/>
      </c>
      <c r="H7">
        <f>'Data Entry'!C39</f>
        <v/>
      </c>
      <c r="I7">
        <f>'Data Entry'!C41</f>
        <v/>
      </c>
      <c r="J7" t="e">
        <v>#N/A</v>
      </c>
      <c r="L7">
        <f>'Data Entry'!B40</f>
        <v/>
      </c>
      <c r="M7">
        <f>'Data Entry'!$G36</f>
        <v/>
      </c>
      <c r="N7">
        <f>'Data Entry'!$G37</f>
        <v/>
      </c>
      <c r="O7">
        <f>'Data Entry'!$G38</f>
        <v/>
      </c>
      <c r="P7">
        <f>'Data Entry'!$G39</f>
        <v/>
      </c>
      <c r="Q7">
        <f>'Data Entry'!I36</f>
        <v/>
      </c>
      <c r="R7">
        <f>'Data Entry'!I37</f>
        <v/>
      </c>
      <c r="S7">
        <f>'Data Entry'!I38</f>
        <v/>
      </c>
      <c r="T7">
        <f>'Data Entry'!I39</f>
        <v/>
      </c>
      <c r="U7">
        <f>R7+S7+T7</f>
        <v/>
      </c>
      <c r="V7">
        <f>'Data Entry'!I40</f>
        <v/>
      </c>
    </row>
    <row r="8">
      <c r="A8" t="n">
        <v>6</v>
      </c>
      <c r="B8">
        <f>'Data Entry'!B61</f>
        <v/>
      </c>
      <c r="C8" t="n">
        <v>6</v>
      </c>
      <c r="D8">
        <f>'Data Entry'!$C47</f>
        <v/>
      </c>
      <c r="E8" t="n">
        <v>0</v>
      </c>
      <c r="F8">
        <f>'Data Entry'!C47</f>
        <v/>
      </c>
      <c r="H8">
        <f>'Data Entry'!$C48</f>
        <v/>
      </c>
      <c r="I8">
        <f>'Data Entry'!$C50</f>
        <v/>
      </c>
      <c r="J8">
        <f>D8</f>
        <v/>
      </c>
      <c r="L8">
        <f>'Data Entry'!B49</f>
        <v/>
      </c>
      <c r="M8">
        <f>'Data Entry'!$G45</f>
        <v/>
      </c>
      <c r="N8">
        <f>'Data Entry'!$G46</f>
        <v/>
      </c>
      <c r="O8">
        <f>'Data Entry'!$G47</f>
        <v/>
      </c>
      <c r="P8">
        <f>'Data Entry'!$G48</f>
        <v/>
      </c>
      <c r="Q8">
        <f>'Data Entry'!I45</f>
        <v/>
      </c>
      <c r="R8">
        <f>'Data Entry'!I46</f>
        <v/>
      </c>
      <c r="S8">
        <f>'Data Entry'!I47</f>
        <v/>
      </c>
      <c r="T8">
        <f>'Data Entry'!I48</f>
        <v/>
      </c>
      <c r="U8">
        <f>R8+S8+T8</f>
        <v/>
      </c>
      <c r="V8">
        <f>'Data Entry'!I49</f>
        <v/>
      </c>
      <c r="AA8" t="n">
        <v>13.5</v>
      </c>
      <c r="AB8" t="n">
        <v>0</v>
      </c>
    </row>
    <row r="9">
      <c r="A9" t="n">
        <v>7</v>
      </c>
      <c r="B9" t="inlineStr">
        <is>
          <t>Alternative 2</t>
        </is>
      </c>
      <c r="C9" t="n">
        <v>7</v>
      </c>
      <c r="D9">
        <f>'Data Entry'!$C55</f>
        <v/>
      </c>
      <c r="E9" t="n">
        <v>0</v>
      </c>
      <c r="F9">
        <f>'Data Entry'!C55</f>
        <v/>
      </c>
      <c r="H9">
        <f>'Data Entry'!$C56</f>
        <v/>
      </c>
      <c r="I9">
        <f>'Data Entry'!$C58</f>
        <v/>
      </c>
      <c r="J9">
        <f>D9</f>
        <v/>
      </c>
      <c r="L9">
        <f>'Data Entry'!B57</f>
        <v/>
      </c>
      <c r="M9">
        <f>'Data Entry'!$G53</f>
        <v/>
      </c>
      <c r="N9">
        <f>'Data Entry'!$G54</f>
        <v/>
      </c>
      <c r="O9">
        <f>'Data Entry'!$G55</f>
        <v/>
      </c>
      <c r="P9">
        <f>'Data Entry'!$G56</f>
        <v/>
      </c>
      <c r="Q9">
        <f>'Data Entry'!I53</f>
        <v/>
      </c>
      <c r="R9">
        <f>'Data Entry'!I54</f>
        <v/>
      </c>
      <c r="S9">
        <f>'Data Entry'!I55</f>
        <v/>
      </c>
      <c r="T9">
        <f>'Data Entry'!I56</f>
        <v/>
      </c>
      <c r="U9">
        <f>R9+S9+T9</f>
        <v/>
      </c>
      <c r="V9">
        <f>'Data Entry'!I57</f>
        <v/>
      </c>
      <c r="AA9" t="n">
        <v>13.5</v>
      </c>
      <c r="AB9" t="n">
        <v>1000</v>
      </c>
    </row>
    <row r="10">
      <c r="A10" t="n">
        <v>8</v>
      </c>
      <c r="B10" t="inlineStr">
        <is>
          <t>Alternative 1</t>
        </is>
      </c>
      <c r="C10" t="n">
        <v>8</v>
      </c>
      <c r="D10">
        <f>'Data Entry'!$C63</f>
        <v/>
      </c>
      <c r="E10" t="n">
        <v>0</v>
      </c>
      <c r="F10">
        <f>'Data Entry'!C63</f>
        <v/>
      </c>
      <c r="H10">
        <f>'Data Entry'!$C64</f>
        <v/>
      </c>
      <c r="I10">
        <f>'Data Entry'!$C66</f>
        <v/>
      </c>
      <c r="J10">
        <f>D10</f>
        <v/>
      </c>
      <c r="L10">
        <f>'Data Entry'!B65</f>
        <v/>
      </c>
      <c r="M10">
        <f>'Data Entry'!$G61</f>
        <v/>
      </c>
      <c r="N10">
        <f>'Data Entry'!$G62</f>
        <v/>
      </c>
      <c r="O10">
        <f>'Data Entry'!$G63</f>
        <v/>
      </c>
      <c r="P10">
        <f>'Data Entry'!$G64</f>
        <v/>
      </c>
      <c r="Q10">
        <f>'Data Entry'!I61</f>
        <v/>
      </c>
      <c r="R10">
        <f>'Data Entry'!I62</f>
        <v/>
      </c>
      <c r="S10">
        <f>'Data Entry'!I63</f>
        <v/>
      </c>
      <c r="T10">
        <f>'Data Entry'!I64</f>
        <v/>
      </c>
      <c r="U10">
        <f>R10+S10+T10</f>
        <v/>
      </c>
      <c r="V10">
        <f>'Data Entry'!I65</f>
        <v/>
      </c>
    </row>
    <row r="11">
      <c r="A11" t="n">
        <v>9</v>
      </c>
      <c r="B11" t="inlineStr">
        <is>
          <t>Alternative 2</t>
        </is>
      </c>
      <c r="C11" t="n">
        <v>9</v>
      </c>
      <c r="D11">
        <f>'Data Entry'!$C71</f>
        <v/>
      </c>
      <c r="E11" t="n">
        <v>0</v>
      </c>
      <c r="F11">
        <f>'Data Entry'!C71</f>
        <v/>
      </c>
      <c r="H11">
        <f>'Data Entry'!$C72</f>
        <v/>
      </c>
      <c r="I11">
        <f>'Data Entry'!$C74</f>
        <v/>
      </c>
      <c r="J11">
        <f>D11</f>
        <v/>
      </c>
      <c r="L11">
        <f>'Data Entry'!B73</f>
        <v/>
      </c>
      <c r="M11">
        <f>'Data Entry'!$G69</f>
        <v/>
      </c>
      <c r="N11">
        <f>'Data Entry'!$G70</f>
        <v/>
      </c>
      <c r="O11">
        <f>'Data Entry'!$G71</f>
        <v/>
      </c>
      <c r="P11">
        <f>'Data Entry'!$G72</f>
        <v/>
      </c>
      <c r="Q11">
        <f>'Data Entry'!I69</f>
        <v/>
      </c>
      <c r="R11">
        <f>'Data Entry'!I70</f>
        <v/>
      </c>
      <c r="S11">
        <f>'Data Entry'!I71</f>
        <v/>
      </c>
      <c r="T11">
        <f>'Data Entry'!I72</f>
        <v/>
      </c>
      <c r="U11">
        <f>R11+S11+T11</f>
        <v/>
      </c>
      <c r="V11">
        <f>'Data Entry'!I73</f>
        <v/>
      </c>
    </row>
    <row r="12">
      <c r="A12" t="n">
        <v>10</v>
      </c>
      <c r="B12" t="inlineStr">
        <is>
          <t>PA</t>
        </is>
      </c>
      <c r="C12" t="n">
        <v>10</v>
      </c>
      <c r="D12">
        <f>'Data Entry'!$C72</f>
        <v/>
      </c>
      <c r="E12" t="n">
        <v>0</v>
      </c>
      <c r="F12">
        <f>'Data Entry'!C72</f>
        <v/>
      </c>
      <c r="H12">
        <f>'Data Entry'!$C80</f>
        <v/>
      </c>
      <c r="I12">
        <f>'Data Entry'!$C75</f>
        <v/>
      </c>
      <c r="J12">
        <f>D12</f>
        <v/>
      </c>
      <c r="L12">
        <f>'Data Entry'!B81</f>
        <v/>
      </c>
      <c r="M12">
        <f>'Data Entry'!$G77</f>
        <v/>
      </c>
      <c r="N12">
        <f>'Data Entry'!$G78</f>
        <v/>
      </c>
      <c r="O12">
        <f>'Data Entry'!$G79</f>
        <v/>
      </c>
      <c r="P12">
        <f>'Data Entry'!$G80</f>
        <v/>
      </c>
      <c r="Q12">
        <f>'Data Entry'!I77</f>
        <v/>
      </c>
      <c r="R12">
        <f>'Data Entry'!I78</f>
        <v/>
      </c>
      <c r="S12">
        <f>'Data Entry'!I79</f>
        <v/>
      </c>
      <c r="T12">
        <f>'Data Entry'!I80</f>
        <v/>
      </c>
      <c r="U12">
        <f>R12+S12+T12</f>
        <v/>
      </c>
      <c r="V12">
        <f>'Data Entry'!I81</f>
        <v/>
      </c>
    </row>
    <row r="13">
      <c r="A13" t="n">
        <v>11</v>
      </c>
      <c r="B13" t="inlineStr">
        <is>
          <t>Booster Session</t>
        </is>
      </c>
    </row>
    <row r="14">
      <c r="A14" t="n">
        <v>12</v>
      </c>
      <c r="B14" t="inlineStr">
        <is>
          <t>Alternative 1</t>
        </is>
      </c>
    </row>
    <row r="15">
      <c r="A15" t="n">
        <v>13</v>
      </c>
      <c r="B15" t="inlineStr">
        <is>
          <t>Alternative 2</t>
        </is>
      </c>
    </row>
    <row r="16">
      <c r="A16" t="n">
        <v>14</v>
      </c>
      <c r="B16" t="inlineStr">
        <is>
          <t>Alternative 1</t>
        </is>
      </c>
    </row>
    <row r="17">
      <c r="A17" t="n">
        <v>15</v>
      </c>
      <c r="B17" t="inlineStr">
        <is>
          <t>Alternative 2</t>
        </is>
      </c>
    </row>
    <row r="18">
      <c r="A18" t="n">
        <v>16</v>
      </c>
      <c r="B18" t="inlineStr">
        <is>
          <t>Alternative 1</t>
        </is>
      </c>
    </row>
    <row r="19">
      <c r="A19" t="n">
        <v>17</v>
      </c>
      <c r="B19" t="inlineStr">
        <is>
          <t>Alternative 2</t>
        </is>
      </c>
    </row>
    <row r="20">
      <c r="A20" t="n">
        <v>18</v>
      </c>
      <c r="B20" t="inlineStr">
        <is>
          <t>Alternative 1</t>
        </is>
      </c>
    </row>
    <row r="21">
      <c r="A21" t="n">
        <v>19</v>
      </c>
      <c r="B21" t="inlineStr">
        <is>
          <t>Alternative 2</t>
        </is>
      </c>
    </row>
    <row r="22">
      <c r="A22" t="n">
        <v>20</v>
      </c>
      <c r="B22" t="inlineStr">
        <is>
          <t>Alternative 1</t>
        </is>
      </c>
    </row>
    <row r="23">
      <c r="A23" t="n">
        <v>21</v>
      </c>
      <c r="B23" t="inlineStr">
        <is>
          <t>Alternative 2</t>
        </is>
      </c>
    </row>
    <row r="24">
      <c r="A24" t="n">
        <v>22</v>
      </c>
      <c r="B24" t="inlineStr">
        <is>
          <t>Alternative 1</t>
        </is>
      </c>
    </row>
    <row r="25">
      <c r="A25" t="n">
        <v>23</v>
      </c>
      <c r="B25" t="inlineStr">
        <is>
          <t>Alternative 2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E4" sqref="E4"/>
    </sheetView>
  </sheetViews>
  <sheetFormatPr baseColWidth="8" defaultRowHeight="15"/>
  <sheetData>
    <row r="1">
      <c r="A1" t="inlineStr">
        <is>
          <t>Baseline</t>
        </is>
      </c>
      <c r="E1" t="inlineStr">
        <is>
          <t>Baseline</t>
        </is>
      </c>
    </row>
    <row r="2">
      <c r="A2" t="inlineStr">
        <is>
          <t>Treatment</t>
        </is>
      </c>
      <c r="E2" t="inlineStr">
        <is>
          <t>Treatment</t>
        </is>
      </c>
    </row>
    <row r="3">
      <c r="A3" t="inlineStr">
        <is>
          <t>Step 1</t>
        </is>
      </c>
      <c r="E3" t="inlineStr">
        <is>
          <t>Thinning</t>
        </is>
      </c>
    </row>
    <row r="4">
      <c r="A4" t="inlineStr">
        <is>
          <t>Step 2</t>
        </is>
      </c>
      <c r="E4" t="inlineStr">
        <is>
          <t>Extinction</t>
        </is>
      </c>
    </row>
    <row r="5">
      <c r="A5" t="inlineStr">
        <is>
          <t>Step 3</t>
        </is>
      </c>
    </row>
    <row r="7">
      <c r="A7" t="inlineStr">
        <is>
          <t>SD1</t>
        </is>
      </c>
    </row>
    <row r="8">
      <c r="A8" t="inlineStr">
        <is>
          <t>Sdelta</t>
        </is>
      </c>
    </row>
    <row r="9">
      <c r="A9" t="inlineStr">
        <is>
          <t>SD2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cmauz_000</dc:creator>
  <dcterms:created xsi:type="dcterms:W3CDTF">2019-07-08T15:40:40Z</dcterms:created>
  <dcterms:modified xsi:type="dcterms:W3CDTF">2024-02-29T16:08:49Z</dcterms:modified>
  <cp:lastModifiedBy>courtney mauzy</cp:lastModifiedBy>
</cp:coreProperties>
</file>