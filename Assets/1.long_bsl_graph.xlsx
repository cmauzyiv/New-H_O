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98d1ca22e0475/Python Programs/Multiple Schedule Study/Main Files 1/Assets/"/>
    </mc:Choice>
  </mc:AlternateContent>
  <xr:revisionPtr revIDLastSave="19" documentId="11_3028587754D496323DAE149B21B8F66880E37AAA" xr6:coauthVersionLast="47" xr6:coauthVersionMax="47" xr10:uidLastSave="{C4C24314-867E-401C-8193-B2FDDFD2413D}"/>
  <bookViews>
    <workbookView xWindow="-28920" yWindow="-1200" windowWidth="29040" windowHeight="15720" firstSheet="1" activeTab="3" xr2:uid="{00000000-000D-0000-FFFF-FFFF00000000}"/>
  </bookViews>
  <sheets>
    <sheet name="Data Entry" sheetId="1" state="hidden" r:id="rId1"/>
    <sheet name="Data Entry 1" sheetId="2" r:id="rId2"/>
    <sheet name="Session by Session" sheetId="3" state="hidden" r:id="rId3"/>
    <sheet name="Rate" sheetId="4" r:id="rId4"/>
    <sheet name="Combined Power Ups" sheetId="9" r:id="rId5"/>
    <sheet name="Rate of Reinf" sheetId="5" r:id="rId6"/>
    <sheet name="Asteroids hit" sheetId="6" r:id="rId7"/>
    <sheet name="All Power Ups" sheetId="7" r:id="rId8"/>
    <sheet name="Sheet2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2" l="1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5" i="2"/>
  <c r="AE6" i="2"/>
  <c r="AE7" i="2"/>
  <c r="AE8" i="2"/>
  <c r="AE9" i="2"/>
  <c r="AE10" i="2"/>
  <c r="AE11" i="2"/>
  <c r="AE12" i="2"/>
  <c r="AE13" i="2"/>
  <c r="AE4" i="2"/>
  <c r="V12" i="3"/>
  <c r="T12" i="3"/>
  <c r="S12" i="3"/>
  <c r="R12" i="3"/>
  <c r="U12" i="3" s="1"/>
  <c r="Q12" i="3"/>
  <c r="P12" i="3"/>
  <c r="O12" i="3"/>
  <c r="N12" i="3"/>
  <c r="M12" i="3"/>
  <c r="L12" i="3"/>
  <c r="I12" i="3"/>
  <c r="V11" i="3"/>
  <c r="T11" i="3"/>
  <c r="S11" i="3"/>
  <c r="R11" i="3"/>
  <c r="U11" i="3" s="1"/>
  <c r="Q11" i="3"/>
  <c r="P11" i="3"/>
  <c r="O11" i="3"/>
  <c r="N11" i="3"/>
  <c r="M11" i="3"/>
  <c r="L11" i="3"/>
  <c r="I11" i="3"/>
  <c r="F11" i="3"/>
  <c r="D11" i="3"/>
  <c r="J11" i="3" s="1"/>
  <c r="V10" i="3"/>
  <c r="T10" i="3"/>
  <c r="S10" i="3"/>
  <c r="U10" i="3" s="1"/>
  <c r="R10" i="3"/>
  <c r="Q10" i="3"/>
  <c r="P10" i="3"/>
  <c r="O10" i="3"/>
  <c r="N10" i="3"/>
  <c r="M10" i="3"/>
  <c r="L10" i="3"/>
  <c r="I10" i="3"/>
  <c r="H10" i="3"/>
  <c r="F10" i="3"/>
  <c r="D10" i="3"/>
  <c r="J10" i="3" s="1"/>
  <c r="V9" i="3"/>
  <c r="T9" i="3"/>
  <c r="S9" i="3"/>
  <c r="R9" i="3"/>
  <c r="U9" i="3" s="1"/>
  <c r="Q9" i="3"/>
  <c r="P9" i="3"/>
  <c r="O9" i="3"/>
  <c r="N9" i="3"/>
  <c r="M9" i="3"/>
  <c r="L9" i="3"/>
  <c r="V8" i="3"/>
  <c r="T8" i="3"/>
  <c r="S8" i="3"/>
  <c r="R8" i="3"/>
  <c r="U8" i="3" s="1"/>
  <c r="Q8" i="3"/>
  <c r="P8" i="3"/>
  <c r="O8" i="3"/>
  <c r="N8" i="3"/>
  <c r="M8" i="3"/>
  <c r="L8" i="3"/>
  <c r="F8" i="3"/>
  <c r="D8" i="3"/>
  <c r="J8" i="3" s="1"/>
  <c r="B8" i="3"/>
  <c r="V7" i="3"/>
  <c r="T7" i="3"/>
  <c r="U7" i="3" s="1"/>
  <c r="S7" i="3"/>
  <c r="R7" i="3"/>
  <c r="Q7" i="3"/>
  <c r="P7" i="3"/>
  <c r="O7" i="3"/>
  <c r="N7" i="3"/>
  <c r="M7" i="3"/>
  <c r="L7" i="3"/>
  <c r="I7" i="3"/>
  <c r="H7" i="3"/>
  <c r="D7" i="3"/>
  <c r="F7" i="3" s="1"/>
  <c r="B7" i="3"/>
  <c r="V6" i="3"/>
  <c r="T6" i="3"/>
  <c r="S6" i="3"/>
  <c r="R6" i="3"/>
  <c r="U6" i="3" s="1"/>
  <c r="Q6" i="3"/>
  <c r="P6" i="3"/>
  <c r="O6" i="3"/>
  <c r="N6" i="3"/>
  <c r="M6" i="3"/>
  <c r="L6" i="3"/>
  <c r="B6" i="3"/>
  <c r="V5" i="3"/>
  <c r="T5" i="3"/>
  <c r="S5" i="3"/>
  <c r="R5" i="3"/>
  <c r="U5" i="3" s="1"/>
  <c r="Q5" i="3"/>
  <c r="P5" i="3"/>
  <c r="O5" i="3"/>
  <c r="N5" i="3"/>
  <c r="M5" i="3"/>
  <c r="L5" i="3"/>
  <c r="E5" i="3"/>
  <c r="D5" i="3"/>
  <c r="F5" i="3" s="1"/>
  <c r="B5" i="3"/>
  <c r="V4" i="3"/>
  <c r="T4" i="3"/>
  <c r="U4" i="3" s="1"/>
  <c r="S4" i="3"/>
  <c r="R4" i="3"/>
  <c r="Q4" i="3"/>
  <c r="P4" i="3"/>
  <c r="O4" i="3"/>
  <c r="N4" i="3"/>
  <c r="M4" i="3"/>
  <c r="L4" i="3"/>
  <c r="E4" i="3"/>
  <c r="D4" i="3"/>
  <c r="F4" i="3" s="1"/>
  <c r="B4" i="3"/>
  <c r="V3" i="3"/>
  <c r="T3" i="3"/>
  <c r="S3" i="3"/>
  <c r="R3" i="3"/>
  <c r="U3" i="3" s="1"/>
  <c r="Q3" i="3"/>
  <c r="P3" i="3"/>
  <c r="O3" i="3"/>
  <c r="N3" i="3"/>
  <c r="M3" i="3"/>
  <c r="L3" i="3"/>
  <c r="B3" i="3"/>
  <c r="AF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F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AF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AF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AF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AF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AF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AF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AF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AF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AF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AF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AF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AF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AF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AF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AF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AF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AF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AF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AF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AF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AF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AF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AF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AF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AF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AF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AF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AF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AF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AF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AF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F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AF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AF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F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AF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AF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AF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AF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AF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AF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AF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AF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AF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AF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AF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AF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AF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AF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F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F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AF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AF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AF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AF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AF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F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F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F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F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AF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AF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AF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AF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F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AF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AF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AF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AF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AF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AF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C96" i="1"/>
  <c r="C95" i="1"/>
  <c r="C88" i="1"/>
  <c r="C87" i="1"/>
  <c r="C80" i="1"/>
  <c r="H12" i="3" s="1"/>
  <c r="C79" i="1"/>
  <c r="C72" i="1"/>
  <c r="F12" i="3" s="1"/>
  <c r="C71" i="1"/>
  <c r="C64" i="1"/>
  <c r="C63" i="1"/>
  <c r="C58" i="1"/>
  <c r="I9" i="3" s="1"/>
  <c r="C56" i="1"/>
  <c r="H9" i="3" s="1"/>
  <c r="C55" i="1"/>
  <c r="F9" i="3" s="1"/>
  <c r="D50" i="1"/>
  <c r="C50" i="1"/>
  <c r="I8" i="3" s="1"/>
  <c r="C48" i="1"/>
  <c r="H8" i="3" s="1"/>
  <c r="C47" i="1"/>
  <c r="D41" i="1"/>
  <c r="C41" i="1"/>
  <c r="C39" i="1"/>
  <c r="C37" i="1"/>
  <c r="D33" i="1"/>
  <c r="C33" i="1"/>
  <c r="I6" i="3" s="1"/>
  <c r="C31" i="1"/>
  <c r="H6" i="3" s="1"/>
  <c r="C29" i="1"/>
  <c r="E6" i="3" s="1"/>
  <c r="D25" i="1"/>
  <c r="C25" i="1"/>
  <c r="C22" i="1"/>
  <c r="D18" i="1"/>
  <c r="C18" i="1"/>
  <c r="C15" i="1"/>
  <c r="B15" i="1"/>
  <c r="B22" i="1" s="1"/>
  <c r="B29" i="1" s="1"/>
  <c r="B37" i="1" s="1"/>
  <c r="B46" i="1" s="1"/>
  <c r="B54" i="1" s="1"/>
  <c r="B62" i="1" s="1"/>
  <c r="B70" i="1" s="1"/>
  <c r="B78" i="1" s="1"/>
  <c r="B86" i="1" s="1"/>
  <c r="B94" i="1" s="1"/>
  <c r="C11" i="1"/>
  <c r="E3" i="3" s="1"/>
  <c r="C8" i="1"/>
  <c r="D3" i="3" s="1"/>
  <c r="F3" i="3" s="1"/>
  <c r="H11" i="3" l="1"/>
  <c r="D6" i="3"/>
  <c r="F6" i="3" s="1"/>
  <c r="D9" i="3"/>
  <c r="J9" i="3" s="1"/>
  <c r="D12" i="3"/>
  <c r="J12" i="3" s="1"/>
</calcChain>
</file>

<file path=xl/sharedStrings.xml><?xml version="1.0" encoding="utf-8"?>
<sst xmlns="http://schemas.openxmlformats.org/spreadsheetml/2006/main" count="485" uniqueCount="84">
  <si>
    <t>DATA ENTRY</t>
  </si>
  <si>
    <t>Initials of person entering data:</t>
  </si>
  <si>
    <t>Initials of person checking data:</t>
  </si>
  <si>
    <t>Phase</t>
  </si>
  <si>
    <t>Baseline</t>
  </si>
  <si>
    <t>IOA</t>
  </si>
  <si>
    <t>Power Ups</t>
  </si>
  <si>
    <t>Freq</t>
  </si>
  <si>
    <t>Trial Type</t>
  </si>
  <si>
    <t>Resp per Min</t>
  </si>
  <si>
    <t>Barrel Roll</t>
  </si>
  <si>
    <t>Flame Change</t>
  </si>
  <si>
    <t>Session</t>
  </si>
  <si>
    <t>Spins</t>
  </si>
  <si>
    <t>Red token</t>
  </si>
  <si>
    <t>Target Resp</t>
  </si>
  <si>
    <t>Y/E</t>
  </si>
  <si>
    <t>Speed Boosts</t>
  </si>
  <si>
    <t>Blue Token</t>
  </si>
  <si>
    <t>Asteroids</t>
  </si>
  <si>
    <t>Reinf per Min</t>
  </si>
  <si>
    <t>Coin Boost</t>
  </si>
  <si>
    <t>Yellow Token</t>
  </si>
  <si>
    <t>Total Points:</t>
  </si>
  <si>
    <t>Crash</t>
  </si>
  <si>
    <t>Alt 1</t>
  </si>
  <si>
    <t>Alt 2</t>
  </si>
  <si>
    <t>target 1</t>
  </si>
  <si>
    <t>Target 2</t>
  </si>
  <si>
    <t>Slope</t>
  </si>
  <si>
    <t>N</t>
  </si>
  <si>
    <t>Se(reg)</t>
  </si>
  <si>
    <t>SE (slope)</t>
  </si>
  <si>
    <t>Dif</t>
  </si>
  <si>
    <t>SE (Dif)</t>
  </si>
  <si>
    <t>T-stat</t>
  </si>
  <si>
    <t>DF</t>
  </si>
  <si>
    <t>P</t>
  </si>
  <si>
    <t>Alt resp</t>
  </si>
  <si>
    <t>Treatment</t>
  </si>
  <si>
    <t>Alt Resp</t>
  </si>
  <si>
    <t>Responses/Reinf Per Min</t>
  </si>
  <si>
    <t>Alternative Resp</t>
  </si>
  <si>
    <t>Extinction</t>
  </si>
  <si>
    <t>Target</t>
  </si>
  <si>
    <t>Alt</t>
  </si>
  <si>
    <t>Score</t>
  </si>
  <si>
    <t>Barrels</t>
  </si>
  <si>
    <t>Turbo</t>
  </si>
  <si>
    <t>Red Gem</t>
  </si>
  <si>
    <t>Blue Gem</t>
  </si>
  <si>
    <t>Yellow Gem</t>
  </si>
  <si>
    <t>Total Gems</t>
  </si>
  <si>
    <t>Phase Lines</t>
  </si>
  <si>
    <t>Dotted PL</t>
  </si>
  <si>
    <t>Duration</t>
  </si>
  <si>
    <t>Condition</t>
  </si>
  <si>
    <t>Total</t>
  </si>
  <si>
    <t>Rate</t>
  </si>
  <si>
    <t>BSL</t>
  </si>
  <si>
    <t xml:space="preserve">Target </t>
  </si>
  <si>
    <t>Spin</t>
  </si>
  <si>
    <t>Speed</t>
  </si>
  <si>
    <t>Coin</t>
  </si>
  <si>
    <t>Flame</t>
  </si>
  <si>
    <t>Red</t>
  </si>
  <si>
    <t>Blue</t>
  </si>
  <si>
    <t xml:space="preserve">Yellow </t>
  </si>
  <si>
    <t xml:space="preserve">Tokens </t>
  </si>
  <si>
    <t>Session #</t>
  </si>
  <si>
    <t>Reinf</t>
  </si>
  <si>
    <t xml:space="preserve">Combined </t>
  </si>
  <si>
    <t>Alternative 2</t>
  </si>
  <si>
    <t>Alternative 1</t>
  </si>
  <si>
    <t>PA</t>
  </si>
  <si>
    <t>Booster Session</t>
  </si>
  <si>
    <t>Step 1</t>
  </si>
  <si>
    <t>Thinning</t>
  </si>
  <si>
    <t>Step 2</t>
  </si>
  <si>
    <t>Step 3</t>
  </si>
  <si>
    <t>SD1</t>
  </si>
  <si>
    <t>Sdelta</t>
  </si>
  <si>
    <t>SD2</t>
  </si>
  <si>
    <t>Combined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</si>
</sst>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0" borderId="3" xfId="0" applyBorder="1" applyAlignment="1">
      <alignment horizontal="center"/>
    </xf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/>
    <xf numFmtId="0" fontId="0" fillId="2" borderId="0" xfId="0" applyFill="1"/>
    <xf numFmtId="0" fontId="0" fillId="0" borderId="1" xfId="0" applyBorder="1"/>
    <xf numFmtId="0" fontId="0" fillId="0" borderId="4" xfId="0" applyBorder="1"/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2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Target 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3"/>
            <c:bubble3D val="0"/>
            <c:spPr>
              <a:ln w="12700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A71-4400-84AA-4AC1C2977E5C}"/>
              </c:ext>
            </c:extLst>
          </c:dPt>
          <c:dPt>
            <c:idx val="4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A71-4400-84AA-4AC1C2977E5C}"/>
              </c:ext>
            </c:extLst>
          </c:dPt>
          <c:dPt>
            <c:idx val="6"/>
            <c:bubble3D val="0"/>
            <c:spPr>
              <a:ln w="12700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A71-4400-84AA-4AC1C2977E5C}"/>
              </c:ext>
            </c:extLst>
          </c:dPt>
          <c:dPt>
            <c:idx val="7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A71-4400-84AA-4AC1C2977E5C}"/>
              </c:ext>
            </c:extLst>
          </c:dPt>
          <c:dPt>
            <c:idx val="9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A71-4400-84AA-4AC1C2977E5C}"/>
              </c:ext>
            </c:extLst>
          </c:dPt>
          <c:dPt>
            <c:idx val="10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A71-4400-84AA-4AC1C2977E5C}"/>
              </c:ext>
            </c:extLst>
          </c:dPt>
          <c:dLbls>
            <c:dLbl>
              <c:idx val="2"/>
              <c:layout>
                <c:manualLayout>
                  <c:x val="-0.11743772241992886"/>
                  <c:y val="-0.575916230366492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Baseline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A71-4400-84AA-4AC1C2977E5C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'Data Entry 1'!$R$4:$R$76</c:f>
              <c:numCache>
                <c:formatCode>General</c:formatCode>
                <c:ptCount val="73"/>
                <c:pt idx="0">
                  <c:v>60</c:v>
                </c:pt>
                <c:pt idx="1">
                  <c:v>56</c:v>
                </c:pt>
                <c:pt idx="2">
                  <c:v>35</c:v>
                </c:pt>
                <c:pt idx="3">
                  <c:v>65</c:v>
                </c:pt>
                <c:pt idx="4">
                  <c:v>19</c:v>
                </c:pt>
                <c:pt idx="5">
                  <c:v>2</c:v>
                </c:pt>
                <c:pt idx="6">
                  <c:v>0</c:v>
                </c:pt>
                <c:pt idx="7">
                  <c:v>15</c:v>
                </c:pt>
                <c:pt idx="8">
                  <c:v>1</c:v>
                </c:pt>
                <c:pt idx="9">
                  <c:v>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A71-4400-84AA-4AC1C2977E5C}"/>
            </c:ext>
          </c:extLst>
        </c:ser>
        <c:ser>
          <c:idx val="1"/>
          <c:order val="1"/>
          <c:tx>
            <c:v>Alt 1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6"/>
            <c: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4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A71-4400-84AA-4AC1C2977E5C}"/>
              </c:ext>
            </c:extLst>
          </c:dPt>
          <c:dPt>
            <c:idx val="6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A71-4400-84AA-4AC1C2977E5C}"/>
              </c:ext>
            </c:extLst>
          </c:dPt>
          <c:dPt>
            <c:idx val="7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A71-4400-84AA-4AC1C2977E5C}"/>
              </c:ext>
            </c:extLst>
          </c:dPt>
          <c:dPt>
            <c:idx val="9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A71-4400-84AA-4AC1C2977E5C}"/>
              </c:ext>
            </c:extLst>
          </c:dPt>
          <c:dPt>
            <c:idx val="10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7A71-4400-84AA-4AC1C2977E5C}"/>
              </c:ext>
            </c:extLst>
          </c:dPt>
          <c:dPt>
            <c:idx val="11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7A71-4400-84AA-4AC1C2977E5C}"/>
              </c:ext>
            </c:extLst>
          </c:dPt>
          <c:dPt>
            <c:idx val="17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7A71-4400-84AA-4AC1C2977E5C}"/>
              </c:ext>
            </c:extLst>
          </c:dPt>
          <c:dLbls>
            <c:dLbl>
              <c:idx val="5"/>
              <c:layout>
                <c:manualLayout>
                  <c:x val="-2.8469750889679714E-2"/>
                  <c:y val="-0.4973821989528796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Treatment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A71-4400-84AA-4AC1C2977E5C}"/>
                </c:ext>
              </c:extLst>
            </c:dLbl>
            <c:dLbl>
              <c:idx val="8"/>
              <c:layout>
                <c:manualLayout>
                  <c:x val="-3.9145907473309607E-2"/>
                  <c:y val="-0.757417102966841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Extinction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7A71-4400-84AA-4AC1C2977E5C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'Data Entry 1'!$S$4:$S$76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</c:v>
                </c:pt>
                <c:pt idx="5">
                  <c:v>49</c:v>
                </c:pt>
                <c:pt idx="6">
                  <c:v>74</c:v>
                </c:pt>
                <c:pt idx="7">
                  <c:v>17</c:v>
                </c:pt>
                <c:pt idx="8">
                  <c:v>2</c:v>
                </c:pt>
                <c:pt idx="9">
                  <c:v>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A71-4400-84AA-4AC1C2977E5C}"/>
            </c:ext>
          </c:extLst>
        </c:ser>
        <c:ser>
          <c:idx val="2"/>
          <c:order val="2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'Data Entry 1'!$AJ$3:$AJ$20</c:f>
              <c:numCache>
                <c:formatCode>General</c:formatCode>
                <c:ptCount val="18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'Data Entry 1'!$AK$3:$AK$14</c:f>
              <c:numCache>
                <c:formatCode>General</c:formatCode>
                <c:ptCount val="12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A71-4400-84AA-4AC1C2977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> Per Minute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1"/>
          <c:order val="0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'Data Entry 1'!$AJ$3:$AJ$24</c:f>
              <c:numCache>
                <c:formatCode>General</c:formatCode>
                <c:ptCount val="22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'Data Entry 1'!$AK$3:$AK$25</c:f>
              <c:numCache>
                <c:formatCode>General</c:formatCode>
                <c:ptCount val="23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1C-4627-9013-FC43DE5641D2}"/>
            </c:ext>
          </c:extLst>
        </c:ser>
        <c:ser>
          <c:idx val="0"/>
          <c:order val="1"/>
          <c:tx>
            <c:v>Combined</c:v>
          </c:tx>
          <c:spPr>
            <a:ln>
              <a:solidFill>
                <a:srgbClr val="000000"/>
              </a:solidFill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srgbClr val="000000"/>
                </a:solidFill>
              </a:ln>
            </c:spPr>
          </c:marker>
          <c:dPt>
            <c:idx val="4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A-4F1C-4627-9013-FC43DE5641D2}"/>
              </c:ext>
            </c:extLst>
          </c:dPt>
          <c:dPt>
            <c:idx val="7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4F1C-4627-9013-FC43DE5641D2}"/>
              </c:ext>
            </c:extLst>
          </c:dPt>
          <c:yVal>
            <c:numRef>
              <c:f>'Data Entry 1'!$AE$4:$AE$76</c:f>
              <c:numCache>
                <c:formatCode>General</c:formatCode>
                <c:ptCount val="73"/>
                <c:pt idx="0">
                  <c:v>60</c:v>
                </c:pt>
                <c:pt idx="1">
                  <c:v>56</c:v>
                </c:pt>
                <c:pt idx="2">
                  <c:v>37</c:v>
                </c:pt>
                <c:pt idx="3">
                  <c:v>38</c:v>
                </c:pt>
                <c:pt idx="4">
                  <c:v>57</c:v>
                </c:pt>
                <c:pt idx="5">
                  <c:v>51</c:v>
                </c:pt>
                <c:pt idx="6">
                  <c:v>35</c:v>
                </c:pt>
                <c:pt idx="7">
                  <c:v>42</c:v>
                </c:pt>
                <c:pt idx="8">
                  <c:v>60</c:v>
                </c:pt>
                <c:pt idx="9">
                  <c:v>88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F1C-4627-9013-FC43DE564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0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Target 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Session'!$E$3:$E$5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8-4CEC-8EF5-D613CC0ECAC3}"/>
            </c:ext>
          </c:extLst>
        </c:ser>
        <c:ser>
          <c:idx val="1"/>
          <c:order val="1"/>
          <c:tx>
            <c:v>Alt 1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6"/>
            <c: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FD8-4CEC-8EF5-D613CC0ECAC3}"/>
              </c:ext>
            </c:extLst>
          </c:dPt>
          <c:xVal>
            <c:numRef>
              <c:f>'Session by Session'!$C$3:$C$11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'Session by Session'!$I$3:$I$11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D8-4CEC-8EF5-D613CC0ECAC3}"/>
            </c:ext>
          </c:extLst>
        </c:ser>
        <c:ser>
          <c:idx val="2"/>
          <c:order val="2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D8-4CEC-8EF5-D613CC0E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> Per Minute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Session'!$L$3:$L$11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E-4F6D-8356-108F8E5BE908}"/>
            </c:ext>
          </c:extLst>
        </c:ser>
        <c:ser>
          <c:idx val="1"/>
          <c:order val="1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AE-4F6D-8356-108F8E5BE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Asteroids</c:v>
          </c:tx>
          <c:spPr>
            <a:ln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'Data Entry 1'!$T$4:$T$76</c:f>
              <c:numCache>
                <c:formatCode>General</c:formatCode>
                <c:ptCount val="73"/>
                <c:pt idx="0">
                  <c:v>51</c:v>
                </c:pt>
                <c:pt idx="1">
                  <c:v>45</c:v>
                </c:pt>
                <c:pt idx="2">
                  <c:v>28</c:v>
                </c:pt>
                <c:pt idx="3">
                  <c:v>29</c:v>
                </c:pt>
                <c:pt idx="4">
                  <c:v>52</c:v>
                </c:pt>
                <c:pt idx="5">
                  <c:v>42</c:v>
                </c:pt>
                <c:pt idx="6">
                  <c:v>29</c:v>
                </c:pt>
                <c:pt idx="7">
                  <c:v>35</c:v>
                </c:pt>
                <c:pt idx="8">
                  <c:v>53</c:v>
                </c:pt>
                <c:pt idx="9">
                  <c:v>79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5-4B35-B026-68DA6C7D411B}"/>
            </c:ext>
          </c:extLst>
        </c:ser>
        <c:ser>
          <c:idx val="1"/>
          <c:order val="1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'Data Entry 1'!$AJ$3:$AJ$24</c:f>
              <c:numCache>
                <c:formatCode>General</c:formatCode>
                <c:ptCount val="22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'Data Entry 1'!$AK$3:$AK$25</c:f>
              <c:numCache>
                <c:formatCode>General</c:formatCode>
                <c:ptCount val="23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45-4B35-B026-68DA6C7D411B}"/>
            </c:ext>
          </c:extLst>
        </c:ser>
        <c:ser>
          <c:idx val="2"/>
          <c:order val="2"/>
          <c:tx>
            <c:v>Barrell Roll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1'!$V$4:$V$76</c:f>
              <c:numCache>
                <c:formatCode>General</c:formatCode>
                <c:ptCount val="73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45-4B35-B026-68DA6C7D411B}"/>
            </c:ext>
          </c:extLst>
        </c:ser>
        <c:ser>
          <c:idx val="3"/>
          <c:order val="3"/>
          <c:tx>
            <c:v>Spins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1'!$W$4:$W$76</c:f>
              <c:numCache>
                <c:formatCode>General</c:formatCode>
                <c:ptCount val="73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45-4B35-B026-68DA6C7D411B}"/>
            </c:ext>
          </c:extLst>
        </c:ser>
        <c:ser>
          <c:idx val="4"/>
          <c:order val="4"/>
          <c:tx>
            <c:v>Turbo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1'!$X$4:$X$76</c:f>
              <c:numCache>
                <c:formatCode>General</c:formatCode>
                <c:ptCount val="73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45-4B35-B026-68DA6C7D411B}"/>
            </c:ext>
          </c:extLst>
        </c:ser>
        <c:ser>
          <c:idx val="5"/>
          <c:order val="5"/>
          <c:tx>
            <c:v>Coin_Boost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1'!$Y$4:$Y$76</c:f>
              <c:numCache>
                <c:formatCode>General</c:formatCode>
                <c:ptCount val="7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45-4B35-B026-68DA6C7D411B}"/>
            </c:ext>
          </c:extLst>
        </c:ser>
        <c:ser>
          <c:idx val="6"/>
          <c:order val="6"/>
          <c:tx>
            <c:v>Flames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1'!$Z$4:$Z$76</c:f>
              <c:numCache>
                <c:formatCode>General</c:formatCode>
                <c:ptCount val="7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45-4B35-B026-68DA6C7D411B}"/>
            </c:ext>
          </c:extLst>
        </c:ser>
        <c:ser>
          <c:idx val="7"/>
          <c:order val="7"/>
          <c:tx>
            <c:v>Gem_Color_Change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1'!$AD$4:$AD$76</c:f>
              <c:numCache>
                <c:formatCode>General</c:formatCode>
                <c:ptCount val="73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45-4B35-B026-68DA6C7D4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workbookViewId="0" zoomToFit="1"/>
  </sheetViews>
  <pageMargins left="0.75" right="0.75" top="1" bottom="1" header="0.5" footer="0.5"/>
  <pageSetup orientation="landscape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9BB75E-A376-4704-9EF8-03184B21EFD4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91" workbookViewId="0" zoomToFit="1"/>
  </sheetViews>
  <pageMargins left="0.75" right="0.75" top="1" bottom="1" header="0.5" footer="0.5"/>
  <pageSetup orientation="landscape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706100" cy="7277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706100" cy="7277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086635-E622-D07D-CF85-20AE885A32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706100" cy="7277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706100" cy="7277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L98"/>
  <sheetViews>
    <sheetView workbookViewId="0">
      <selection activeCell="C8" sqref="C8"/>
    </sheetView>
  </sheetViews>
  <sheetFormatPr defaultRowHeight="14.4" x14ac:dyDescent="0.3"/>
  <cols>
    <col min="1" max="1" width="14.33203125" style="18" bestFit="1" customWidth="1"/>
    <col min="2" max="2" width="22.21875" style="18" bestFit="1" customWidth="1"/>
    <col min="3" max="3" width="23.77734375" style="18" bestFit="1" customWidth="1"/>
    <col min="4" max="4" width="3.109375" style="18" customWidth="1"/>
    <col min="5" max="9" width="16.21875" style="18" customWidth="1"/>
    <col min="10" max="10" width="6.77734375" style="6" customWidth="1"/>
    <col min="11" max="11" width="28.44140625" style="18" bestFit="1" customWidth="1"/>
    <col min="12" max="12" width="3.5546875" style="18" customWidth="1"/>
    <col min="13" max="13" width="28.5546875" style="18" bestFit="1" customWidth="1"/>
    <col min="14" max="14" width="14.77734375" style="18" bestFit="1" customWidth="1"/>
    <col min="17" max="17" width="10.5546875" style="18" bestFit="1" customWidth="1"/>
    <col min="18" max="21" width="10.5546875" style="18" customWidth="1"/>
    <col min="24" max="24" width="12.44140625" style="18" bestFit="1" customWidth="1"/>
  </cols>
  <sheetData>
    <row r="1" spans="1:38" x14ac:dyDescent="0.3">
      <c r="A1" s="19" t="s">
        <v>0</v>
      </c>
      <c r="B1" s="20"/>
      <c r="C1" s="20"/>
    </row>
    <row r="2" spans="1:38" x14ac:dyDescent="0.3">
      <c r="A2" s="20"/>
      <c r="B2" s="20"/>
      <c r="C2" s="20"/>
    </row>
    <row r="3" spans="1:38" x14ac:dyDescent="0.3">
      <c r="A3" s="20"/>
      <c r="B3" s="20"/>
      <c r="C3" s="20"/>
    </row>
    <row r="4" spans="1:38" x14ac:dyDescent="0.3">
      <c r="A4" s="20"/>
      <c r="B4" s="20"/>
      <c r="C4" s="20"/>
      <c r="K4" s="16" t="s">
        <v>1</v>
      </c>
      <c r="M4" s="16" t="s">
        <v>2</v>
      </c>
    </row>
    <row r="5" spans="1:38" x14ac:dyDescent="0.3">
      <c r="A5" s="21"/>
      <c r="B5" s="21"/>
      <c r="C5" s="21"/>
      <c r="K5" s="10"/>
      <c r="M5" s="10"/>
    </row>
    <row r="6" spans="1:38" x14ac:dyDescent="0.3">
      <c r="A6" s="2" t="s">
        <v>3</v>
      </c>
      <c r="B6" s="16" t="s">
        <v>4</v>
      </c>
      <c r="C6" s="3"/>
      <c r="E6" s="12" t="s">
        <v>5</v>
      </c>
      <c r="F6" s="12" t="s">
        <v>6</v>
      </c>
      <c r="G6" s="12" t="s">
        <v>7</v>
      </c>
      <c r="H6" s="12" t="s">
        <v>6</v>
      </c>
      <c r="I6" s="12" t="s">
        <v>7</v>
      </c>
    </row>
    <row r="7" spans="1:38" x14ac:dyDescent="0.3">
      <c r="A7" s="2" t="s">
        <v>8</v>
      </c>
      <c r="B7" s="16" t="s">
        <v>4</v>
      </c>
      <c r="C7" s="4" t="s">
        <v>9</v>
      </c>
      <c r="F7" t="s">
        <v>10</v>
      </c>
      <c r="G7" s="10" t="e">
        <v>#N/A</v>
      </c>
      <c r="H7" t="s">
        <v>11</v>
      </c>
      <c r="I7" s="10" t="e">
        <v>#N/A</v>
      </c>
    </row>
    <row r="8" spans="1:38" x14ac:dyDescent="0.3">
      <c r="A8" s="2" t="s">
        <v>12</v>
      </c>
      <c r="B8" s="16">
        <v>1</v>
      </c>
      <c r="C8" s="1" t="e">
        <f>B9</f>
        <v>#N/A</v>
      </c>
      <c r="E8" s="11" t="s">
        <v>5</v>
      </c>
      <c r="F8" s="12" t="s">
        <v>13</v>
      </c>
      <c r="G8" s="10" t="e">
        <v>#N/A</v>
      </c>
      <c r="H8" s="12" t="s">
        <v>14</v>
      </c>
      <c r="I8" s="10" t="e">
        <v>#N/A</v>
      </c>
    </row>
    <row r="9" spans="1:38" x14ac:dyDescent="0.3">
      <c r="A9" s="2" t="s">
        <v>15</v>
      </c>
      <c r="B9" s="8" t="e">
        <v>#N/A</v>
      </c>
      <c r="C9" s="4"/>
      <c r="E9" s="11" t="s">
        <v>16</v>
      </c>
      <c r="F9" s="12" t="s">
        <v>17</v>
      </c>
      <c r="G9" s="10" t="e">
        <v>#N/A</v>
      </c>
      <c r="H9" s="12" t="s">
        <v>18</v>
      </c>
      <c r="I9" s="10" t="e">
        <v>#N/A</v>
      </c>
    </row>
    <row r="10" spans="1:38" x14ac:dyDescent="0.3">
      <c r="A10" s="2" t="s">
        <v>19</v>
      </c>
      <c r="B10" s="8" t="e">
        <v>#N/A</v>
      </c>
      <c r="C10" s="4" t="s">
        <v>20</v>
      </c>
      <c r="E10" s="11" t="s">
        <v>16</v>
      </c>
      <c r="F10" s="12" t="s">
        <v>21</v>
      </c>
      <c r="G10" s="10" t="e">
        <v>#N/A</v>
      </c>
      <c r="H10" s="12" t="s">
        <v>22</v>
      </c>
      <c r="I10" s="10" t="e">
        <v>#N/A</v>
      </c>
    </row>
    <row r="11" spans="1:38" x14ac:dyDescent="0.3">
      <c r="A11" s="2" t="s">
        <v>23</v>
      </c>
      <c r="B11" s="8" t="e">
        <v>#N/A</v>
      </c>
      <c r="C11" s="1" t="e">
        <f>((B11/5))</f>
        <v>#N/A</v>
      </c>
      <c r="E11" s="11" t="s">
        <v>16</v>
      </c>
      <c r="F11" s="12"/>
      <c r="G11" s="12"/>
      <c r="H11" s="12" t="s">
        <v>24</v>
      </c>
      <c r="I11" s="10" t="e">
        <v>#N/A</v>
      </c>
      <c r="AI11" t="s">
        <v>25</v>
      </c>
      <c r="AJ11" t="s">
        <v>26</v>
      </c>
      <c r="AK11" t="s">
        <v>27</v>
      </c>
      <c r="AL11" t="s">
        <v>28</v>
      </c>
    </row>
    <row r="12" spans="1:38" x14ac:dyDescent="0.3">
      <c r="E12" s="12"/>
      <c r="F12" s="12"/>
      <c r="G12" s="12"/>
      <c r="H12" s="12"/>
      <c r="I12" s="12"/>
    </row>
    <row r="13" spans="1:38" x14ac:dyDescent="0.3">
      <c r="A13" s="2" t="s">
        <v>3</v>
      </c>
      <c r="B13" s="16" t="s">
        <v>4</v>
      </c>
      <c r="C13" s="3"/>
      <c r="F13" s="12" t="s">
        <v>6</v>
      </c>
      <c r="G13" s="12" t="s">
        <v>7</v>
      </c>
      <c r="H13" s="12" t="s">
        <v>6</v>
      </c>
      <c r="I13" s="12" t="s">
        <v>7</v>
      </c>
      <c r="AH13">
        <v>2</v>
      </c>
      <c r="AI13">
        <v>0.28799999999999998</v>
      </c>
      <c r="AJ13">
        <v>1.9920948616600791</v>
      </c>
      <c r="AK13">
        <v>0.31034482758620691</v>
      </c>
      <c r="AL13">
        <v>5.1724137931034489E-2</v>
      </c>
    </row>
    <row r="14" spans="1:38" x14ac:dyDescent="0.3">
      <c r="A14" s="2" t="s">
        <v>8</v>
      </c>
      <c r="B14" s="16" t="s">
        <v>4</v>
      </c>
      <c r="C14" s="4" t="s">
        <v>9</v>
      </c>
      <c r="F14" t="s">
        <v>10</v>
      </c>
      <c r="G14" s="10" t="e">
        <v>#N/A</v>
      </c>
      <c r="H14" t="s">
        <v>11</v>
      </c>
      <c r="I14" s="10" t="e">
        <v>#N/A</v>
      </c>
      <c r="AH14">
        <v>3</v>
      </c>
      <c r="AI14">
        <v>0.192</v>
      </c>
      <c r="AJ14">
        <v>0.45059288537549408</v>
      </c>
      <c r="AK14">
        <v>7.7586206896551727E-2</v>
      </c>
      <c r="AL14">
        <v>2.5862068965517241E-2</v>
      </c>
    </row>
    <row r="15" spans="1:38" x14ac:dyDescent="0.3">
      <c r="A15" s="2" t="s">
        <v>12</v>
      </c>
      <c r="B15" s="16">
        <f>B8+1</f>
        <v>2</v>
      </c>
      <c r="C15" s="1" t="e">
        <f>B16</f>
        <v>#N/A</v>
      </c>
      <c r="E15" s="11" t="s">
        <v>5</v>
      </c>
      <c r="F15" s="12" t="s">
        <v>13</v>
      </c>
      <c r="G15" s="10" t="e">
        <v>#N/A</v>
      </c>
      <c r="H15" s="12" t="s">
        <v>14</v>
      </c>
      <c r="I15" s="10" t="e">
        <v>#N/A</v>
      </c>
    </row>
    <row r="16" spans="1:38" x14ac:dyDescent="0.3">
      <c r="A16" s="2" t="s">
        <v>15</v>
      </c>
      <c r="B16" s="8" t="e">
        <v>#N/A</v>
      </c>
      <c r="E16" s="11" t="s">
        <v>16</v>
      </c>
      <c r="F16" s="12" t="s">
        <v>17</v>
      </c>
      <c r="G16" s="10" t="e">
        <v>#N/A</v>
      </c>
      <c r="H16" s="12" t="s">
        <v>18</v>
      </c>
      <c r="I16" s="10" t="e">
        <v>#N/A</v>
      </c>
      <c r="AH16" t="s">
        <v>29</v>
      </c>
      <c r="AI16">
        <v>-0.67200000000000004</v>
      </c>
      <c r="AJ16">
        <v>-0.65217391304347827</v>
      </c>
      <c r="AK16">
        <v>-0.86637931034482762</v>
      </c>
      <c r="AL16">
        <v>-6.4655172413793108E-2</v>
      </c>
    </row>
    <row r="17" spans="1:38" x14ac:dyDescent="0.3">
      <c r="A17" s="2" t="s">
        <v>19</v>
      </c>
      <c r="B17" s="8" t="e">
        <v>#N/A</v>
      </c>
      <c r="C17" s="4" t="s">
        <v>20</v>
      </c>
      <c r="E17" s="11" t="s">
        <v>16</v>
      </c>
      <c r="F17" s="12" t="s">
        <v>21</v>
      </c>
      <c r="G17" s="10" t="e">
        <v>#N/A</v>
      </c>
      <c r="H17" s="12" t="s">
        <v>22</v>
      </c>
      <c r="I17" s="10" t="e">
        <v>#N/A</v>
      </c>
    </row>
    <row r="18" spans="1:38" x14ac:dyDescent="0.3">
      <c r="A18" s="2" t="s">
        <v>23</v>
      </c>
      <c r="B18" s="8" t="e">
        <v>#N/A</v>
      </c>
      <c r="C18" s="1" t="e">
        <f>(((B18-B11)/5))</f>
        <v>#N/A</v>
      </c>
      <c r="D18" t="e">
        <f>B18/5</f>
        <v>#N/A</v>
      </c>
      <c r="E18" s="11" t="s">
        <v>16</v>
      </c>
      <c r="F18" s="12"/>
      <c r="G18" s="12"/>
      <c r="H18" s="12" t="s">
        <v>24</v>
      </c>
      <c r="I18" s="10" t="e">
        <v>#N/A</v>
      </c>
      <c r="AH18" t="s">
        <v>30</v>
      </c>
      <c r="AI18">
        <v>3</v>
      </c>
      <c r="AJ18">
        <v>3</v>
      </c>
      <c r="AK18">
        <v>3</v>
      </c>
      <c r="AL18">
        <v>3</v>
      </c>
    </row>
    <row r="19" spans="1:38" x14ac:dyDescent="0.3">
      <c r="AH19" t="s">
        <v>31</v>
      </c>
      <c r="AI19">
        <v>0.47030203061437009</v>
      </c>
      <c r="AJ19">
        <v>0.72613332295944011</v>
      </c>
      <c r="AK19">
        <v>0.51734912670851629</v>
      </c>
      <c r="AL19">
        <v>3.1674436329092788E-2</v>
      </c>
    </row>
    <row r="20" spans="1:38" x14ac:dyDescent="0.3">
      <c r="A20" s="2" t="s">
        <v>3</v>
      </c>
      <c r="B20" s="16" t="s">
        <v>4</v>
      </c>
      <c r="C20" s="3"/>
      <c r="F20" s="12" t="s">
        <v>6</v>
      </c>
      <c r="G20" s="12" t="s">
        <v>7</v>
      </c>
      <c r="H20" s="12" t="s">
        <v>6</v>
      </c>
      <c r="I20" s="12" t="s">
        <v>7</v>
      </c>
      <c r="AH20" t="s">
        <v>32</v>
      </c>
      <c r="AI20">
        <v>0.33255375505322438</v>
      </c>
      <c r="AJ20">
        <v>0.51345379671014146</v>
      </c>
      <c r="AK20">
        <v>0.36582107573653028</v>
      </c>
      <c r="AL20">
        <v>2.2397208718563041E-2</v>
      </c>
    </row>
    <row r="21" spans="1:38" x14ac:dyDescent="0.3">
      <c r="A21" s="2" t="s">
        <v>8</v>
      </c>
      <c r="B21" s="16" t="s">
        <v>4</v>
      </c>
      <c r="C21" s="4" t="s">
        <v>9</v>
      </c>
      <c r="F21" t="s">
        <v>10</v>
      </c>
      <c r="G21" s="10" t="e">
        <v>#N/A</v>
      </c>
      <c r="H21" t="s">
        <v>11</v>
      </c>
      <c r="I21" s="10" t="e">
        <v>#N/A</v>
      </c>
      <c r="AI21" t="s">
        <v>33</v>
      </c>
      <c r="AJ21">
        <v>1.9826086956521771E-2</v>
      </c>
      <c r="AK21" t="s">
        <v>33</v>
      </c>
      <c r="AL21">
        <v>0.80172413793103448</v>
      </c>
    </row>
    <row r="22" spans="1:38" x14ac:dyDescent="0.3">
      <c r="A22" s="2" t="s">
        <v>12</v>
      </c>
      <c r="B22" s="16">
        <f>B15+1</f>
        <v>3</v>
      </c>
      <c r="C22" s="1" t="e">
        <f>B23</f>
        <v>#N/A</v>
      </c>
      <c r="E22" s="11" t="s">
        <v>5</v>
      </c>
      <c r="F22" s="12" t="s">
        <v>13</v>
      </c>
      <c r="G22" s="10" t="e">
        <v>#N/A</v>
      </c>
      <c r="H22" s="12" t="s">
        <v>14</v>
      </c>
      <c r="I22" s="10" t="e">
        <v>#N/A</v>
      </c>
      <c r="AI22" t="s">
        <v>34</v>
      </c>
      <c r="AJ22">
        <v>0.61174079588994168</v>
      </c>
      <c r="AK22" t="s">
        <v>34</v>
      </c>
      <c r="AL22">
        <v>0.36650606326691942</v>
      </c>
    </row>
    <row r="23" spans="1:38" x14ac:dyDescent="0.3">
      <c r="A23" s="2" t="s">
        <v>15</v>
      </c>
      <c r="B23" s="8" t="e">
        <v>#N/A</v>
      </c>
      <c r="E23" s="11" t="s">
        <v>16</v>
      </c>
      <c r="F23" s="12" t="s">
        <v>17</v>
      </c>
      <c r="G23" s="10" t="e">
        <v>#N/A</v>
      </c>
      <c r="H23" s="12" t="s">
        <v>18</v>
      </c>
      <c r="I23" s="10" t="e">
        <v>#N/A</v>
      </c>
      <c r="AI23" t="s">
        <v>35</v>
      </c>
      <c r="AJ23">
        <v>3.240929342905665E-2</v>
      </c>
      <c r="AK23" t="s">
        <v>35</v>
      </c>
      <c r="AL23">
        <v>2.187478512046209</v>
      </c>
    </row>
    <row r="24" spans="1:38" x14ac:dyDescent="0.3">
      <c r="A24" s="2" t="s">
        <v>19</v>
      </c>
      <c r="B24" s="8" t="e">
        <v>#N/A</v>
      </c>
      <c r="C24" s="4" t="s">
        <v>20</v>
      </c>
      <c r="E24" s="11" t="s">
        <v>16</v>
      </c>
      <c r="F24" s="12" t="s">
        <v>21</v>
      </c>
      <c r="G24" s="10" t="e">
        <v>#N/A</v>
      </c>
      <c r="H24" s="12" t="s">
        <v>22</v>
      </c>
      <c r="I24" s="10" t="e">
        <v>#N/A</v>
      </c>
    </row>
    <row r="25" spans="1:38" x14ac:dyDescent="0.3">
      <c r="A25" s="2" t="s">
        <v>23</v>
      </c>
      <c r="B25" s="8" t="e">
        <v>#N/A</v>
      </c>
      <c r="C25" s="1" t="e">
        <f>(((B25-B18)/5))</f>
        <v>#N/A</v>
      </c>
      <c r="D25" t="e">
        <f>B25/5</f>
        <v>#N/A</v>
      </c>
      <c r="E25" s="11" t="s">
        <v>16</v>
      </c>
      <c r="F25" s="12"/>
      <c r="G25" s="12"/>
      <c r="H25" s="12" t="s">
        <v>24</v>
      </c>
      <c r="I25" s="10" t="e">
        <v>#N/A</v>
      </c>
      <c r="AI25" t="s">
        <v>36</v>
      </c>
      <c r="AJ25">
        <v>4</v>
      </c>
      <c r="AK25" t="s">
        <v>36</v>
      </c>
      <c r="AL25">
        <v>4</v>
      </c>
    </row>
    <row r="26" spans="1:38" x14ac:dyDescent="0.3">
      <c r="AI26" t="s">
        <v>37</v>
      </c>
      <c r="AJ26">
        <v>0.97569834744644501</v>
      </c>
      <c r="AK26" t="s">
        <v>37</v>
      </c>
      <c r="AL26">
        <v>9.3956211780278492E-2</v>
      </c>
    </row>
    <row r="27" spans="1:38" x14ac:dyDescent="0.3">
      <c r="A27" s="2" t="s">
        <v>3</v>
      </c>
      <c r="B27" s="16" t="s">
        <v>4</v>
      </c>
      <c r="C27" s="3"/>
      <c r="F27" s="12" t="s">
        <v>6</v>
      </c>
      <c r="G27" s="12" t="s">
        <v>7</v>
      </c>
      <c r="H27" s="12" t="s">
        <v>6</v>
      </c>
      <c r="I27" s="12" t="s">
        <v>7</v>
      </c>
    </row>
    <row r="28" spans="1:38" x14ac:dyDescent="0.3">
      <c r="A28" s="2" t="s">
        <v>8</v>
      </c>
      <c r="B28" s="16" t="s">
        <v>4</v>
      </c>
      <c r="C28" s="4" t="s">
        <v>9</v>
      </c>
      <c r="F28" t="s">
        <v>10</v>
      </c>
      <c r="G28" s="10" t="e">
        <v>#N/A</v>
      </c>
      <c r="H28" t="s">
        <v>11</v>
      </c>
      <c r="I28" s="10" t="e">
        <v>#N/A</v>
      </c>
    </row>
    <row r="29" spans="1:38" x14ac:dyDescent="0.3">
      <c r="A29" s="2" t="s">
        <v>12</v>
      </c>
      <c r="B29" s="16">
        <f>B22+1</f>
        <v>4</v>
      </c>
      <c r="C29" s="1" t="e">
        <f>B30</f>
        <v>#N/A</v>
      </c>
      <c r="E29" s="11" t="s">
        <v>5</v>
      </c>
      <c r="F29" s="12" t="s">
        <v>13</v>
      </c>
      <c r="G29" s="10" t="e">
        <v>#N/A</v>
      </c>
      <c r="H29" s="12" t="s">
        <v>14</v>
      </c>
      <c r="I29" s="10" t="e">
        <v>#N/A</v>
      </c>
    </row>
    <row r="30" spans="1:38" x14ac:dyDescent="0.3">
      <c r="A30" s="2" t="s">
        <v>15</v>
      </c>
      <c r="B30" s="8" t="e">
        <v>#N/A</v>
      </c>
      <c r="E30" s="11" t="s">
        <v>16</v>
      </c>
      <c r="F30" s="12" t="s">
        <v>17</v>
      </c>
      <c r="G30" s="10" t="e">
        <v>#N/A</v>
      </c>
      <c r="H30" s="12" t="s">
        <v>18</v>
      </c>
      <c r="I30" s="10" t="e">
        <v>#N/A</v>
      </c>
    </row>
    <row r="31" spans="1:38" x14ac:dyDescent="0.3">
      <c r="A31" s="2" t="s">
        <v>38</v>
      </c>
      <c r="B31" s="8" t="e">
        <v>#N/A</v>
      </c>
      <c r="C31" s="1" t="e">
        <f>B31</f>
        <v>#N/A</v>
      </c>
      <c r="E31" s="11" t="s">
        <v>16</v>
      </c>
      <c r="F31" s="12" t="s">
        <v>21</v>
      </c>
      <c r="G31" s="10" t="e">
        <v>#N/A</v>
      </c>
      <c r="H31" s="12" t="s">
        <v>22</v>
      </c>
      <c r="I31" s="10" t="e">
        <v>#N/A</v>
      </c>
    </row>
    <row r="32" spans="1:38" x14ac:dyDescent="0.3">
      <c r="A32" s="2" t="s">
        <v>19</v>
      </c>
      <c r="B32" s="8" t="e">
        <v>#N/A</v>
      </c>
      <c r="C32" s="4" t="s">
        <v>20</v>
      </c>
      <c r="E32" s="11" t="s">
        <v>16</v>
      </c>
      <c r="F32" s="12"/>
      <c r="G32" s="12"/>
      <c r="H32" s="12" t="s">
        <v>24</v>
      </c>
      <c r="I32" s="10" t="e">
        <v>#N/A</v>
      </c>
    </row>
    <row r="33" spans="1:9" x14ac:dyDescent="0.3">
      <c r="A33" s="2" t="s">
        <v>23</v>
      </c>
      <c r="B33" s="8" t="e">
        <v>#N/A</v>
      </c>
      <c r="C33" s="1" t="e">
        <f>(((B33-B25)/5))</f>
        <v>#N/A</v>
      </c>
      <c r="D33" t="e">
        <f>B33/5</f>
        <v>#N/A</v>
      </c>
      <c r="E33" s="11" t="s">
        <v>16</v>
      </c>
      <c r="F33" s="12"/>
      <c r="G33" s="12"/>
      <c r="H33" s="12"/>
      <c r="I33" s="12"/>
    </row>
    <row r="34" spans="1:9" x14ac:dyDescent="0.3">
      <c r="A34" s="16"/>
      <c r="B34" s="16"/>
      <c r="C34" s="16"/>
    </row>
    <row r="35" spans="1:9" x14ac:dyDescent="0.3">
      <c r="A35" s="2" t="s">
        <v>3</v>
      </c>
      <c r="B35" s="16" t="s">
        <v>39</v>
      </c>
      <c r="C35" s="3"/>
      <c r="F35" s="12" t="s">
        <v>6</v>
      </c>
      <c r="G35" s="12" t="s">
        <v>7</v>
      </c>
      <c r="H35" s="12" t="s">
        <v>6</v>
      </c>
      <c r="I35" s="12" t="s">
        <v>7</v>
      </c>
    </row>
    <row r="36" spans="1:9" x14ac:dyDescent="0.3">
      <c r="A36" s="2" t="s">
        <v>8</v>
      </c>
      <c r="B36" s="16" t="s">
        <v>39</v>
      </c>
      <c r="C36" s="4" t="s">
        <v>9</v>
      </c>
      <c r="F36" t="s">
        <v>10</v>
      </c>
      <c r="G36" s="10" t="e">
        <v>#N/A</v>
      </c>
      <c r="H36" t="s">
        <v>11</v>
      </c>
      <c r="I36" s="10" t="e">
        <v>#N/A</v>
      </c>
    </row>
    <row r="37" spans="1:9" x14ac:dyDescent="0.3">
      <c r="A37" s="2" t="s">
        <v>12</v>
      </c>
      <c r="B37" s="16">
        <f>B29+1</f>
        <v>5</v>
      </c>
      <c r="C37" s="1" t="e">
        <f>B38</f>
        <v>#N/A</v>
      </c>
      <c r="E37" s="11" t="s">
        <v>5</v>
      </c>
      <c r="F37" s="12" t="s">
        <v>13</v>
      </c>
      <c r="G37" s="10" t="e">
        <v>#N/A</v>
      </c>
      <c r="H37" s="12" t="s">
        <v>14</v>
      </c>
      <c r="I37" s="10" t="e">
        <v>#N/A</v>
      </c>
    </row>
    <row r="38" spans="1:9" x14ac:dyDescent="0.3">
      <c r="A38" s="2" t="s">
        <v>15</v>
      </c>
      <c r="B38" s="8" t="e">
        <v>#N/A</v>
      </c>
      <c r="E38" s="11" t="s">
        <v>16</v>
      </c>
      <c r="F38" s="12" t="s">
        <v>17</v>
      </c>
      <c r="G38" s="10" t="e">
        <v>#N/A</v>
      </c>
      <c r="H38" s="12" t="s">
        <v>18</v>
      </c>
      <c r="I38" s="10" t="e">
        <v>#N/A</v>
      </c>
    </row>
    <row r="39" spans="1:9" x14ac:dyDescent="0.3">
      <c r="A39" s="2" t="s">
        <v>40</v>
      </c>
      <c r="B39" s="8" t="e">
        <v>#N/A</v>
      </c>
      <c r="C39" s="1" t="e">
        <f>B39</f>
        <v>#N/A</v>
      </c>
      <c r="E39" s="11" t="s">
        <v>16</v>
      </c>
      <c r="F39" s="12" t="s">
        <v>21</v>
      </c>
      <c r="G39" s="10" t="e">
        <v>#N/A</v>
      </c>
      <c r="H39" s="12" t="s">
        <v>22</v>
      </c>
      <c r="I39" s="10" t="e">
        <v>#N/A</v>
      </c>
    </row>
    <row r="40" spans="1:9" x14ac:dyDescent="0.3">
      <c r="A40" s="2" t="s">
        <v>19</v>
      </c>
      <c r="B40" s="8" t="e">
        <v>#N/A</v>
      </c>
      <c r="C40" s="4" t="s">
        <v>20</v>
      </c>
      <c r="E40" s="11" t="s">
        <v>16</v>
      </c>
      <c r="F40" s="12"/>
      <c r="G40" s="12"/>
      <c r="H40" s="12" t="s">
        <v>24</v>
      </c>
      <c r="I40" s="10" t="e">
        <v>#N/A</v>
      </c>
    </row>
    <row r="41" spans="1:9" x14ac:dyDescent="0.3">
      <c r="A41" s="2" t="s">
        <v>23</v>
      </c>
      <c r="B41" s="8" t="e">
        <v>#N/A</v>
      </c>
      <c r="C41" s="1" t="e">
        <f>(((B41-B33)/5))</f>
        <v>#N/A</v>
      </c>
      <c r="D41" t="e">
        <f>B41/5</f>
        <v>#N/A</v>
      </c>
      <c r="E41" s="11" t="s">
        <v>16</v>
      </c>
      <c r="F41" s="12"/>
      <c r="G41" s="12"/>
      <c r="H41" s="12"/>
      <c r="I41" s="12"/>
    </row>
    <row r="42" spans="1:9" x14ac:dyDescent="0.3">
      <c r="A42" s="16"/>
      <c r="B42" s="16"/>
      <c r="C42" s="16"/>
    </row>
    <row r="43" spans="1:9" x14ac:dyDescent="0.3">
      <c r="A43" s="16"/>
      <c r="B43" s="16"/>
      <c r="C43" s="16"/>
    </row>
    <row r="44" spans="1:9" x14ac:dyDescent="0.3">
      <c r="A44" s="2" t="s">
        <v>3</v>
      </c>
      <c r="B44" s="16" t="s">
        <v>39</v>
      </c>
      <c r="C44" s="4" t="s">
        <v>41</v>
      </c>
      <c r="F44" s="12" t="s">
        <v>6</v>
      </c>
      <c r="G44" s="12" t="s">
        <v>7</v>
      </c>
      <c r="H44" s="12" t="s">
        <v>6</v>
      </c>
      <c r="I44" s="12" t="s">
        <v>7</v>
      </c>
    </row>
    <row r="45" spans="1:9" x14ac:dyDescent="0.3">
      <c r="A45" s="2" t="s">
        <v>8</v>
      </c>
      <c r="B45" s="16" t="s">
        <v>39</v>
      </c>
      <c r="C45" s="3"/>
      <c r="F45" t="s">
        <v>10</v>
      </c>
      <c r="G45" s="10" t="e">
        <v>#N/A</v>
      </c>
      <c r="H45" t="s">
        <v>11</v>
      </c>
      <c r="I45" s="10" t="e">
        <v>#N/A</v>
      </c>
    </row>
    <row r="46" spans="1:9" x14ac:dyDescent="0.3">
      <c r="A46" s="2" t="s">
        <v>12</v>
      </c>
      <c r="B46" s="16">
        <f>B37+1</f>
        <v>6</v>
      </c>
      <c r="C46" s="5"/>
      <c r="E46" s="11" t="s">
        <v>5</v>
      </c>
      <c r="F46" s="12" t="s">
        <v>13</v>
      </c>
      <c r="G46" s="10" t="e">
        <v>#N/A</v>
      </c>
      <c r="H46" s="12" t="s">
        <v>14</v>
      </c>
      <c r="I46" s="10" t="e">
        <v>#N/A</v>
      </c>
    </row>
    <row r="47" spans="1:9" x14ac:dyDescent="0.3">
      <c r="A47" s="2" t="s">
        <v>15</v>
      </c>
      <c r="B47" s="8" t="e">
        <v>#N/A</v>
      </c>
      <c r="C47" s="1" t="e">
        <f>B47</f>
        <v>#N/A</v>
      </c>
      <c r="E47" s="11" t="s">
        <v>16</v>
      </c>
      <c r="F47" s="12" t="s">
        <v>17</v>
      </c>
      <c r="G47" s="10" t="e">
        <v>#N/A</v>
      </c>
      <c r="H47" s="12" t="s">
        <v>18</v>
      </c>
      <c r="I47" s="10" t="e">
        <v>#N/A</v>
      </c>
    </row>
    <row r="48" spans="1:9" x14ac:dyDescent="0.3">
      <c r="A48" s="2" t="s">
        <v>42</v>
      </c>
      <c r="B48" s="8" t="e">
        <v>#N/A</v>
      </c>
      <c r="C48" s="1" t="e">
        <f>B48</f>
        <v>#N/A</v>
      </c>
      <c r="E48" s="11" t="s">
        <v>16</v>
      </c>
      <c r="F48" s="12" t="s">
        <v>21</v>
      </c>
      <c r="G48" s="10" t="e">
        <v>#N/A</v>
      </c>
      <c r="H48" s="12" t="s">
        <v>22</v>
      </c>
      <c r="I48" s="10" t="e">
        <v>#N/A</v>
      </c>
    </row>
    <row r="49" spans="1:9" x14ac:dyDescent="0.3">
      <c r="A49" s="2" t="s">
        <v>19</v>
      </c>
      <c r="B49" s="8" t="e">
        <v>#N/A</v>
      </c>
      <c r="C49" s="1"/>
      <c r="E49" s="11" t="s">
        <v>16</v>
      </c>
      <c r="F49" s="12"/>
      <c r="G49" s="12"/>
      <c r="H49" s="12" t="s">
        <v>24</v>
      </c>
      <c r="I49" s="10" t="e">
        <v>#N/A</v>
      </c>
    </row>
    <row r="50" spans="1:9" x14ac:dyDescent="0.3">
      <c r="A50" s="2" t="s">
        <v>23</v>
      </c>
      <c r="B50" s="8" t="e">
        <v>#N/A</v>
      </c>
      <c r="C50" s="1" t="e">
        <f>(((B50-B42)/5))</f>
        <v>#N/A</v>
      </c>
      <c r="D50" t="e">
        <f>B50/5</f>
        <v>#N/A</v>
      </c>
      <c r="E50" s="11" t="s">
        <v>16</v>
      </c>
      <c r="F50" s="12"/>
      <c r="G50" s="12"/>
      <c r="H50" s="12"/>
      <c r="I50" s="12"/>
    </row>
    <row r="52" spans="1:9" x14ac:dyDescent="0.3">
      <c r="A52" s="2" t="s">
        <v>3</v>
      </c>
      <c r="B52" s="16" t="s">
        <v>39</v>
      </c>
      <c r="C52" s="4" t="s">
        <v>41</v>
      </c>
      <c r="F52" s="12" t="s">
        <v>6</v>
      </c>
      <c r="G52" s="12" t="s">
        <v>7</v>
      </c>
      <c r="H52" s="12" t="s">
        <v>6</v>
      </c>
      <c r="I52" s="12" t="s">
        <v>7</v>
      </c>
    </row>
    <row r="53" spans="1:9" x14ac:dyDescent="0.3">
      <c r="A53" s="2" t="s">
        <v>8</v>
      </c>
      <c r="B53" s="16" t="s">
        <v>39</v>
      </c>
      <c r="C53" s="3"/>
      <c r="F53" t="s">
        <v>10</v>
      </c>
      <c r="G53" s="10" t="e">
        <v>#N/A</v>
      </c>
      <c r="H53" t="s">
        <v>11</v>
      </c>
      <c r="I53" s="10" t="e">
        <v>#N/A</v>
      </c>
    </row>
    <row r="54" spans="1:9" x14ac:dyDescent="0.3">
      <c r="A54" s="2" t="s">
        <v>12</v>
      </c>
      <c r="B54" s="16">
        <f>B46+1</f>
        <v>7</v>
      </c>
      <c r="C54" s="5"/>
      <c r="E54" s="11" t="s">
        <v>5</v>
      </c>
      <c r="F54" s="12" t="s">
        <v>13</v>
      </c>
      <c r="G54" s="10" t="e">
        <v>#N/A</v>
      </c>
      <c r="H54" s="12" t="s">
        <v>14</v>
      </c>
      <c r="I54" s="10" t="e">
        <v>#N/A</v>
      </c>
    </row>
    <row r="55" spans="1:9" x14ac:dyDescent="0.3">
      <c r="A55" s="2" t="s">
        <v>15</v>
      </c>
      <c r="B55" s="8" t="e">
        <v>#N/A</v>
      </c>
      <c r="C55" s="1" t="e">
        <f>B55</f>
        <v>#N/A</v>
      </c>
      <c r="E55" s="11" t="s">
        <v>16</v>
      </c>
      <c r="F55" s="12" t="s">
        <v>17</v>
      </c>
      <c r="G55" s="10" t="e">
        <v>#N/A</v>
      </c>
      <c r="H55" s="12" t="s">
        <v>18</v>
      </c>
      <c r="I55" s="10" t="e">
        <v>#N/A</v>
      </c>
    </row>
    <row r="56" spans="1:9" x14ac:dyDescent="0.3">
      <c r="A56" s="2" t="s">
        <v>42</v>
      </c>
      <c r="B56" s="8" t="e">
        <v>#N/A</v>
      </c>
      <c r="C56" s="1" t="e">
        <f>B56</f>
        <v>#N/A</v>
      </c>
      <c r="E56" s="11" t="s">
        <v>16</v>
      </c>
      <c r="F56" s="12" t="s">
        <v>21</v>
      </c>
      <c r="G56" s="10" t="e">
        <v>#N/A</v>
      </c>
      <c r="H56" s="12" t="s">
        <v>22</v>
      </c>
      <c r="I56" s="10" t="e">
        <v>#N/A</v>
      </c>
    </row>
    <row r="57" spans="1:9" x14ac:dyDescent="0.3">
      <c r="A57" s="2" t="s">
        <v>19</v>
      </c>
      <c r="B57" s="8" t="e">
        <v>#N/A</v>
      </c>
      <c r="C57" s="1"/>
      <c r="E57" s="11" t="s">
        <v>16</v>
      </c>
      <c r="F57" s="12"/>
      <c r="G57" s="12"/>
      <c r="H57" s="12" t="s">
        <v>24</v>
      </c>
      <c r="I57" s="10" t="e">
        <v>#N/A</v>
      </c>
    </row>
    <row r="58" spans="1:9" x14ac:dyDescent="0.3">
      <c r="A58" s="2" t="s">
        <v>23</v>
      </c>
      <c r="B58" s="8" t="e">
        <v>#N/A</v>
      </c>
      <c r="C58" s="1" t="e">
        <f>(((B58-B50)/5))</f>
        <v>#N/A</v>
      </c>
      <c r="E58" s="11" t="s">
        <v>16</v>
      </c>
      <c r="F58" s="12"/>
      <c r="G58" s="12"/>
      <c r="H58" s="12"/>
      <c r="I58" s="12"/>
    </row>
    <row r="60" spans="1:9" x14ac:dyDescent="0.3">
      <c r="A60" s="2" t="s">
        <v>3</v>
      </c>
      <c r="B60" s="16" t="s">
        <v>43</v>
      </c>
      <c r="C60" s="4" t="s">
        <v>41</v>
      </c>
      <c r="F60" s="12" t="s">
        <v>6</v>
      </c>
      <c r="G60" s="12" t="s">
        <v>7</v>
      </c>
      <c r="H60" s="12" t="s">
        <v>6</v>
      </c>
      <c r="I60" s="12" t="s">
        <v>7</v>
      </c>
    </row>
    <row r="61" spans="1:9" x14ac:dyDescent="0.3">
      <c r="A61" s="2" t="s">
        <v>8</v>
      </c>
      <c r="B61" s="16" t="s">
        <v>39</v>
      </c>
      <c r="C61" s="3"/>
      <c r="F61" t="s">
        <v>10</v>
      </c>
      <c r="G61" s="10" t="e">
        <v>#N/A</v>
      </c>
      <c r="H61" t="s">
        <v>11</v>
      </c>
      <c r="I61" s="10" t="e">
        <v>#N/A</v>
      </c>
    </row>
    <row r="62" spans="1:9" x14ac:dyDescent="0.3">
      <c r="A62" s="2" t="s">
        <v>12</v>
      </c>
      <c r="B62" s="16">
        <f>B54+1</f>
        <v>8</v>
      </c>
      <c r="C62" s="5"/>
      <c r="E62" s="11" t="s">
        <v>5</v>
      </c>
      <c r="F62" s="12" t="s">
        <v>13</v>
      </c>
      <c r="G62" s="10" t="e">
        <v>#N/A</v>
      </c>
      <c r="H62" s="12" t="s">
        <v>14</v>
      </c>
      <c r="I62" s="10" t="e">
        <v>#N/A</v>
      </c>
    </row>
    <row r="63" spans="1:9" x14ac:dyDescent="0.3">
      <c r="A63" s="2" t="s">
        <v>15</v>
      </c>
      <c r="B63" s="8" t="e">
        <v>#N/A</v>
      </c>
      <c r="C63" s="1" t="e">
        <f>B63</f>
        <v>#N/A</v>
      </c>
      <c r="E63" s="11" t="s">
        <v>16</v>
      </c>
      <c r="F63" s="12" t="s">
        <v>17</v>
      </c>
      <c r="G63" s="10" t="e">
        <v>#N/A</v>
      </c>
      <c r="H63" s="12" t="s">
        <v>18</v>
      </c>
      <c r="I63" s="10" t="e">
        <v>#N/A</v>
      </c>
    </row>
    <row r="64" spans="1:9" x14ac:dyDescent="0.3">
      <c r="A64" s="2" t="s">
        <v>42</v>
      </c>
      <c r="B64" s="8" t="e">
        <v>#N/A</v>
      </c>
      <c r="C64" s="1" t="e">
        <f>B64</f>
        <v>#N/A</v>
      </c>
      <c r="E64" s="11" t="s">
        <v>16</v>
      </c>
      <c r="F64" s="12" t="s">
        <v>21</v>
      </c>
      <c r="G64" s="10" t="e">
        <v>#N/A</v>
      </c>
      <c r="H64" s="12" t="s">
        <v>22</v>
      </c>
      <c r="I64" s="10" t="e">
        <v>#N/A</v>
      </c>
    </row>
    <row r="65" spans="1:9" x14ac:dyDescent="0.3">
      <c r="A65" s="2" t="s">
        <v>19</v>
      </c>
      <c r="B65" s="8" t="e">
        <v>#N/A</v>
      </c>
      <c r="C65" s="1"/>
      <c r="E65" s="11" t="s">
        <v>16</v>
      </c>
      <c r="F65" s="12"/>
      <c r="G65" s="12"/>
      <c r="H65" s="12" t="s">
        <v>24</v>
      </c>
      <c r="I65" s="10" t="e">
        <v>#N/A</v>
      </c>
    </row>
    <row r="66" spans="1:9" x14ac:dyDescent="0.3">
      <c r="A66" s="2" t="s">
        <v>23</v>
      </c>
      <c r="B66" s="8" t="e">
        <v>#N/A</v>
      </c>
      <c r="C66" s="1">
        <v>0</v>
      </c>
      <c r="E66" s="11" t="s">
        <v>16</v>
      </c>
      <c r="F66" s="12"/>
      <c r="G66" s="12"/>
      <c r="H66" s="12"/>
      <c r="I66" s="12"/>
    </row>
    <row r="68" spans="1:9" x14ac:dyDescent="0.3">
      <c r="A68" s="2" t="s">
        <v>3</v>
      </c>
      <c r="B68" s="16" t="s">
        <v>43</v>
      </c>
      <c r="C68" s="4" t="s">
        <v>41</v>
      </c>
      <c r="F68" s="12" t="s">
        <v>6</v>
      </c>
      <c r="G68" s="12" t="s">
        <v>7</v>
      </c>
      <c r="H68" s="12" t="s">
        <v>6</v>
      </c>
      <c r="I68" s="12" t="s">
        <v>7</v>
      </c>
    </row>
    <row r="69" spans="1:9" x14ac:dyDescent="0.3">
      <c r="A69" s="2" t="s">
        <v>8</v>
      </c>
      <c r="B69" s="16" t="s">
        <v>39</v>
      </c>
      <c r="C69" s="3"/>
      <c r="F69" t="s">
        <v>10</v>
      </c>
      <c r="G69" s="10" t="e">
        <v>#N/A</v>
      </c>
      <c r="H69" t="s">
        <v>11</v>
      </c>
      <c r="I69" s="10" t="e">
        <v>#N/A</v>
      </c>
    </row>
    <row r="70" spans="1:9" x14ac:dyDescent="0.3">
      <c r="A70" s="2" t="s">
        <v>12</v>
      </c>
      <c r="B70" s="16">
        <f>B62+1</f>
        <v>9</v>
      </c>
      <c r="C70" s="5"/>
      <c r="E70" s="11" t="s">
        <v>5</v>
      </c>
      <c r="F70" s="12" t="s">
        <v>13</v>
      </c>
      <c r="G70" s="10" t="e">
        <v>#N/A</v>
      </c>
      <c r="H70" s="12" t="s">
        <v>14</v>
      </c>
      <c r="I70" s="10" t="e">
        <v>#N/A</v>
      </c>
    </row>
    <row r="71" spans="1:9" x14ac:dyDescent="0.3">
      <c r="A71" s="2" t="s">
        <v>15</v>
      </c>
      <c r="B71" s="8" t="e">
        <v>#N/A</v>
      </c>
      <c r="C71" s="1" t="e">
        <f>B71</f>
        <v>#N/A</v>
      </c>
      <c r="E71" s="11" t="s">
        <v>16</v>
      </c>
      <c r="F71" s="12" t="s">
        <v>17</v>
      </c>
      <c r="G71" s="10" t="e">
        <v>#N/A</v>
      </c>
      <c r="H71" s="12" t="s">
        <v>18</v>
      </c>
      <c r="I71" s="10" t="e">
        <v>#N/A</v>
      </c>
    </row>
    <row r="72" spans="1:9" x14ac:dyDescent="0.3">
      <c r="A72" s="2" t="s">
        <v>42</v>
      </c>
      <c r="B72" s="8" t="e">
        <v>#N/A</v>
      </c>
      <c r="C72" s="1" t="e">
        <f>B72</f>
        <v>#N/A</v>
      </c>
      <c r="E72" s="11" t="s">
        <v>16</v>
      </c>
      <c r="F72" s="12" t="s">
        <v>21</v>
      </c>
      <c r="G72" s="10" t="e">
        <v>#N/A</v>
      </c>
      <c r="H72" s="12" t="s">
        <v>22</v>
      </c>
      <c r="I72" s="10" t="e">
        <v>#N/A</v>
      </c>
    </row>
    <row r="73" spans="1:9" x14ac:dyDescent="0.3">
      <c r="A73" s="2" t="s">
        <v>19</v>
      </c>
      <c r="B73" s="8" t="e">
        <v>#N/A</v>
      </c>
      <c r="C73" s="1"/>
      <c r="E73" s="11" t="s">
        <v>16</v>
      </c>
      <c r="F73" s="12"/>
      <c r="G73" s="12"/>
      <c r="H73" s="12" t="s">
        <v>24</v>
      </c>
      <c r="I73" s="10" t="e">
        <v>#N/A</v>
      </c>
    </row>
    <row r="74" spans="1:9" x14ac:dyDescent="0.3">
      <c r="A74" s="2" t="s">
        <v>23</v>
      </c>
      <c r="B74" s="8" t="e">
        <v>#N/A</v>
      </c>
      <c r="C74" s="1">
        <v>0</v>
      </c>
      <c r="E74" s="11" t="s">
        <v>16</v>
      </c>
      <c r="F74" s="12"/>
      <c r="G74" s="12"/>
      <c r="H74" s="12"/>
      <c r="I74" s="12"/>
    </row>
    <row r="76" spans="1:9" x14ac:dyDescent="0.3">
      <c r="A76" s="2" t="s">
        <v>3</v>
      </c>
      <c r="B76" s="16" t="s">
        <v>43</v>
      </c>
      <c r="C76" s="4" t="s">
        <v>41</v>
      </c>
      <c r="F76" s="12" t="s">
        <v>6</v>
      </c>
      <c r="G76" s="12" t="s">
        <v>7</v>
      </c>
      <c r="H76" s="12" t="s">
        <v>6</v>
      </c>
      <c r="I76" s="12" t="s">
        <v>7</v>
      </c>
    </row>
    <row r="77" spans="1:9" x14ac:dyDescent="0.3">
      <c r="A77" s="2" t="s">
        <v>8</v>
      </c>
      <c r="B77" s="16" t="s">
        <v>39</v>
      </c>
      <c r="C77" s="3"/>
      <c r="F77" t="s">
        <v>10</v>
      </c>
      <c r="G77" s="10" t="e">
        <v>#N/A</v>
      </c>
      <c r="H77" t="s">
        <v>11</v>
      </c>
      <c r="I77" s="10" t="e">
        <v>#N/A</v>
      </c>
    </row>
    <row r="78" spans="1:9" x14ac:dyDescent="0.3">
      <c r="A78" s="2" t="s">
        <v>12</v>
      </c>
      <c r="B78" s="16">
        <f>B70+1</f>
        <v>10</v>
      </c>
      <c r="C78" s="5"/>
      <c r="E78" s="11" t="s">
        <v>5</v>
      </c>
      <c r="F78" s="12" t="s">
        <v>13</v>
      </c>
      <c r="G78" s="10" t="e">
        <v>#N/A</v>
      </c>
      <c r="H78" s="12" t="s">
        <v>14</v>
      </c>
      <c r="I78" s="10" t="e">
        <v>#N/A</v>
      </c>
    </row>
    <row r="79" spans="1:9" x14ac:dyDescent="0.3">
      <c r="A79" s="2" t="s">
        <v>15</v>
      </c>
      <c r="B79" s="8" t="e">
        <v>#N/A</v>
      </c>
      <c r="C79" s="1" t="e">
        <f>B79</f>
        <v>#N/A</v>
      </c>
      <c r="E79" s="11" t="s">
        <v>16</v>
      </c>
      <c r="F79" s="12" t="s">
        <v>17</v>
      </c>
      <c r="G79" s="10" t="e">
        <v>#N/A</v>
      </c>
      <c r="H79" s="12" t="s">
        <v>18</v>
      </c>
      <c r="I79" s="10" t="e">
        <v>#N/A</v>
      </c>
    </row>
    <row r="80" spans="1:9" x14ac:dyDescent="0.3">
      <c r="A80" s="2" t="s">
        <v>42</v>
      </c>
      <c r="B80" s="8" t="e">
        <v>#N/A</v>
      </c>
      <c r="C80" s="1" t="e">
        <f>B80</f>
        <v>#N/A</v>
      </c>
      <c r="E80" s="11" t="s">
        <v>16</v>
      </c>
      <c r="F80" s="12" t="s">
        <v>21</v>
      </c>
      <c r="G80" s="10" t="e">
        <v>#N/A</v>
      </c>
      <c r="H80" s="12" t="s">
        <v>22</v>
      </c>
      <c r="I80" s="10" t="e">
        <v>#N/A</v>
      </c>
    </row>
    <row r="81" spans="1:9" x14ac:dyDescent="0.3">
      <c r="A81" s="2" t="s">
        <v>19</v>
      </c>
      <c r="B81" s="8" t="e">
        <v>#N/A</v>
      </c>
      <c r="C81" s="1"/>
      <c r="E81" s="11" t="s">
        <v>16</v>
      </c>
      <c r="F81" s="12"/>
      <c r="G81" s="12"/>
      <c r="H81" s="12" t="s">
        <v>24</v>
      </c>
      <c r="I81" s="10" t="e">
        <v>#N/A</v>
      </c>
    </row>
    <row r="82" spans="1:9" x14ac:dyDescent="0.3">
      <c r="A82" s="2" t="s">
        <v>23</v>
      </c>
      <c r="B82" s="8" t="e">
        <v>#N/A</v>
      </c>
      <c r="C82" s="1">
        <v>0</v>
      </c>
      <c r="E82" s="11" t="s">
        <v>16</v>
      </c>
      <c r="F82" s="12"/>
      <c r="G82" s="12"/>
      <c r="H82" s="12"/>
      <c r="I82" s="12"/>
    </row>
    <row r="83" spans="1:9" x14ac:dyDescent="0.3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3">
      <c r="A84" s="5" t="s">
        <v>3</v>
      </c>
      <c r="B84" s="5" t="s">
        <v>43</v>
      </c>
      <c r="C84" s="3" t="s">
        <v>41</v>
      </c>
      <c r="D84" s="6"/>
      <c r="E84" s="6"/>
      <c r="F84" s="13" t="s">
        <v>6</v>
      </c>
      <c r="G84" s="13" t="s">
        <v>7</v>
      </c>
      <c r="H84" s="13" t="s">
        <v>6</v>
      </c>
      <c r="I84" s="13" t="s">
        <v>7</v>
      </c>
    </row>
    <row r="85" spans="1:9" x14ac:dyDescent="0.3">
      <c r="A85" s="5" t="s">
        <v>8</v>
      </c>
      <c r="B85" s="5" t="s">
        <v>39</v>
      </c>
      <c r="C85" s="3"/>
      <c r="D85" s="6"/>
      <c r="E85" s="6"/>
      <c r="F85" s="6" t="s">
        <v>10</v>
      </c>
      <c r="G85" s="6" t="e">
        <v>#N/A</v>
      </c>
      <c r="H85" s="6" t="s">
        <v>11</v>
      </c>
      <c r="I85" s="6" t="e">
        <v>#N/A</v>
      </c>
    </row>
    <row r="86" spans="1:9" x14ac:dyDescent="0.3">
      <c r="A86" s="5" t="s">
        <v>12</v>
      </c>
      <c r="B86" s="5">
        <f>B78+1</f>
        <v>11</v>
      </c>
      <c r="C86" s="5"/>
      <c r="D86" s="6"/>
      <c r="E86" s="7" t="s">
        <v>5</v>
      </c>
      <c r="F86" s="13" t="s">
        <v>13</v>
      </c>
      <c r="G86" s="6" t="e">
        <v>#N/A</v>
      </c>
      <c r="H86" s="13" t="s">
        <v>14</v>
      </c>
      <c r="I86" s="6" t="e">
        <v>#N/A</v>
      </c>
    </row>
    <row r="87" spans="1:9" x14ac:dyDescent="0.3">
      <c r="A87" s="5" t="s">
        <v>15</v>
      </c>
      <c r="B87" s="5" t="e">
        <v>#N/A</v>
      </c>
      <c r="C87" s="5" t="e">
        <f>B87</f>
        <v>#N/A</v>
      </c>
      <c r="D87" s="6"/>
      <c r="E87" s="7" t="s">
        <v>16</v>
      </c>
      <c r="F87" s="13" t="s">
        <v>17</v>
      </c>
      <c r="G87" s="6" t="e">
        <v>#N/A</v>
      </c>
      <c r="H87" s="13" t="s">
        <v>18</v>
      </c>
      <c r="I87" s="6" t="e">
        <v>#N/A</v>
      </c>
    </row>
    <row r="88" spans="1:9" x14ac:dyDescent="0.3">
      <c r="A88" s="5" t="s">
        <v>42</v>
      </c>
      <c r="B88" s="5" t="e">
        <v>#N/A</v>
      </c>
      <c r="C88" s="5" t="e">
        <f>B88</f>
        <v>#N/A</v>
      </c>
      <c r="D88" s="6"/>
      <c r="E88" s="7" t="s">
        <v>16</v>
      </c>
      <c r="F88" s="13" t="s">
        <v>21</v>
      </c>
      <c r="G88" s="6" t="e">
        <v>#N/A</v>
      </c>
      <c r="H88" s="13" t="s">
        <v>22</v>
      </c>
      <c r="I88" s="6" t="e">
        <v>#N/A</v>
      </c>
    </row>
    <row r="89" spans="1:9" x14ac:dyDescent="0.3">
      <c r="A89" s="5" t="s">
        <v>19</v>
      </c>
      <c r="B89" s="5" t="e">
        <v>#N/A</v>
      </c>
      <c r="C89" s="5"/>
      <c r="D89" s="6"/>
      <c r="E89" s="7" t="s">
        <v>16</v>
      </c>
      <c r="F89" s="13"/>
      <c r="G89" s="13"/>
      <c r="H89" s="13" t="s">
        <v>24</v>
      </c>
      <c r="I89" s="6" t="e">
        <v>#N/A</v>
      </c>
    </row>
    <row r="90" spans="1:9" x14ac:dyDescent="0.3">
      <c r="A90" s="5" t="s">
        <v>23</v>
      </c>
      <c r="B90" s="5" t="e">
        <v>#N/A</v>
      </c>
      <c r="C90" s="5">
        <v>0</v>
      </c>
      <c r="D90" s="6"/>
      <c r="E90" s="7" t="s">
        <v>16</v>
      </c>
      <c r="F90" s="13"/>
      <c r="G90" s="13"/>
      <c r="H90" s="13"/>
      <c r="I90" s="13"/>
    </row>
    <row r="91" spans="1:9" x14ac:dyDescent="0.3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3">
      <c r="A92" s="5" t="s">
        <v>3</v>
      </c>
      <c r="B92" s="5" t="s">
        <v>43</v>
      </c>
      <c r="C92" s="3" t="s">
        <v>41</v>
      </c>
      <c r="D92" s="6"/>
      <c r="E92" s="6"/>
      <c r="F92" s="13" t="s">
        <v>6</v>
      </c>
      <c r="G92" s="13" t="s">
        <v>7</v>
      </c>
      <c r="H92" s="13" t="s">
        <v>6</v>
      </c>
      <c r="I92" s="13" t="s">
        <v>7</v>
      </c>
    </row>
    <row r="93" spans="1:9" x14ac:dyDescent="0.3">
      <c r="A93" s="5" t="s">
        <v>8</v>
      </c>
      <c r="B93" s="5" t="s">
        <v>39</v>
      </c>
      <c r="C93" s="3"/>
      <c r="D93" s="6"/>
      <c r="E93" s="6"/>
      <c r="F93" s="6" t="s">
        <v>10</v>
      </c>
      <c r="G93" s="6" t="e">
        <v>#N/A</v>
      </c>
      <c r="H93" s="6" t="s">
        <v>11</v>
      </c>
      <c r="I93" s="6" t="e">
        <v>#N/A</v>
      </c>
    </row>
    <row r="94" spans="1:9" x14ac:dyDescent="0.3">
      <c r="A94" s="5" t="s">
        <v>12</v>
      </c>
      <c r="B94" s="5">
        <f>B86+1</f>
        <v>12</v>
      </c>
      <c r="C94" s="5"/>
      <c r="D94" s="6"/>
      <c r="E94" s="7" t="s">
        <v>5</v>
      </c>
      <c r="F94" s="13" t="s">
        <v>13</v>
      </c>
      <c r="G94" s="6" t="e">
        <v>#N/A</v>
      </c>
      <c r="H94" s="13" t="s">
        <v>14</v>
      </c>
      <c r="I94" s="6" t="e">
        <v>#N/A</v>
      </c>
    </row>
    <row r="95" spans="1:9" x14ac:dyDescent="0.3">
      <c r="A95" s="5" t="s">
        <v>15</v>
      </c>
      <c r="B95" s="5" t="e">
        <v>#N/A</v>
      </c>
      <c r="C95" s="5" t="e">
        <f>B95</f>
        <v>#N/A</v>
      </c>
      <c r="D95" s="6"/>
      <c r="E95" s="7" t="s">
        <v>16</v>
      </c>
      <c r="F95" s="13" t="s">
        <v>17</v>
      </c>
      <c r="G95" s="6" t="e">
        <v>#N/A</v>
      </c>
      <c r="H95" s="13" t="s">
        <v>18</v>
      </c>
      <c r="I95" s="6" t="e">
        <v>#N/A</v>
      </c>
    </row>
    <row r="96" spans="1:9" x14ac:dyDescent="0.3">
      <c r="A96" s="5" t="s">
        <v>42</v>
      </c>
      <c r="B96" s="5" t="e">
        <v>#N/A</v>
      </c>
      <c r="C96" s="5" t="e">
        <f>B96</f>
        <v>#N/A</v>
      </c>
      <c r="D96" s="6"/>
      <c r="E96" s="7" t="s">
        <v>16</v>
      </c>
      <c r="F96" s="13" t="s">
        <v>21</v>
      </c>
      <c r="G96" s="6" t="e">
        <v>#N/A</v>
      </c>
      <c r="H96" s="13" t="s">
        <v>22</v>
      </c>
      <c r="I96" s="6" t="e">
        <v>#N/A</v>
      </c>
    </row>
    <row r="97" spans="1:9" x14ac:dyDescent="0.3">
      <c r="A97" s="5" t="s">
        <v>19</v>
      </c>
      <c r="B97" s="5" t="e">
        <v>#N/A</v>
      </c>
      <c r="C97" s="5"/>
      <c r="D97" s="6"/>
      <c r="E97" s="7" t="s">
        <v>16</v>
      </c>
      <c r="F97" s="13"/>
      <c r="G97" s="13"/>
      <c r="H97" s="13" t="s">
        <v>24</v>
      </c>
      <c r="I97" s="6" t="e">
        <v>#N/A</v>
      </c>
    </row>
    <row r="98" spans="1:9" x14ac:dyDescent="0.3">
      <c r="A98" s="5" t="s">
        <v>23</v>
      </c>
      <c r="B98" s="5" t="e">
        <v>#N/A</v>
      </c>
      <c r="C98" s="5">
        <v>0</v>
      </c>
      <c r="D98" s="6"/>
      <c r="E98" s="7" t="s">
        <v>16</v>
      </c>
      <c r="F98" s="13"/>
      <c r="G98" s="13"/>
      <c r="H98" s="13"/>
      <c r="I98" s="13"/>
    </row>
  </sheetData>
  <mergeCells count="1">
    <mergeCell ref="A1:C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N76"/>
  <sheetViews>
    <sheetView topLeftCell="H39" workbookViewId="0">
      <selection activeCell="AE4" sqref="AE4:AE76"/>
    </sheetView>
  </sheetViews>
  <sheetFormatPr defaultRowHeight="14.4" x14ac:dyDescent="0.3"/>
  <cols>
    <col min="1" max="3" width="8.88671875" style="16" customWidth="1"/>
    <col min="4" max="7" width="8.88671875" style="18" customWidth="1"/>
    <col min="8" max="8" width="6.88671875" style="18" bestFit="1" customWidth="1"/>
    <col min="9" max="10" width="8.88671875" style="18" customWidth="1"/>
    <col min="11" max="11" width="10.109375" style="18" bestFit="1" customWidth="1"/>
    <col min="12" max="12" width="13.21875" style="18" bestFit="1" customWidth="1"/>
    <col min="13" max="14" width="8.88671875" style="18" customWidth="1"/>
    <col min="15" max="15" width="11.21875" style="18" bestFit="1" customWidth="1"/>
    <col min="16" max="16" width="5.6640625" style="18" bestFit="1" customWidth="1"/>
    <col min="17" max="17" width="1.6640625" style="15" customWidth="1"/>
    <col min="18" max="18" width="6.33203125" style="18" bestFit="1" customWidth="1"/>
    <col min="19" max="19" width="7.77734375" style="18" customWidth="1"/>
    <col min="20" max="20" width="7.6640625" style="18" customWidth="1"/>
    <col min="21" max="21" width="8.33203125" style="18" customWidth="1"/>
    <col min="22" max="22" width="8.77734375" style="18" customWidth="1"/>
    <col min="23" max="23" width="8.33203125" style="18" customWidth="1"/>
    <col min="24" max="24" width="7.77734375" style="18" customWidth="1"/>
    <col min="25" max="25" width="10.109375" style="18" bestFit="1" customWidth="1"/>
    <col min="26" max="26" width="13.21875" style="18" bestFit="1" customWidth="1"/>
    <col min="27" max="27" width="8.77734375" style="18" bestFit="1" customWidth="1"/>
    <col min="28" max="28" width="9.33203125" style="18" bestFit="1" customWidth="1"/>
    <col min="29" max="29" width="11.21875" style="18" bestFit="1" customWidth="1"/>
    <col min="30" max="31" width="11.21875" style="18" customWidth="1"/>
    <col min="32" max="33" width="5.6640625" style="18" customWidth="1"/>
    <col min="34" max="34" width="2.33203125" style="6" customWidth="1"/>
    <col min="35" max="35" width="1.44140625" style="6" customWidth="1"/>
    <col min="36" max="37" width="8.88671875" style="18" customWidth="1"/>
    <col min="38" max="16384" width="8.88671875" style="18"/>
  </cols>
  <sheetData>
    <row r="2" spans="1:40" x14ac:dyDescent="0.3">
      <c r="D2" s="14" t="s">
        <v>44</v>
      </c>
      <c r="E2" s="14" t="s">
        <v>45</v>
      </c>
      <c r="F2" s="14" t="s">
        <v>19</v>
      </c>
      <c r="G2" s="14" t="s">
        <v>46</v>
      </c>
      <c r="H2" s="14" t="s">
        <v>47</v>
      </c>
      <c r="I2" s="14" t="s">
        <v>13</v>
      </c>
      <c r="J2" s="14" t="s">
        <v>48</v>
      </c>
      <c r="K2" s="14" t="s">
        <v>21</v>
      </c>
      <c r="L2" s="14" t="s">
        <v>11</v>
      </c>
      <c r="M2" s="14" t="s">
        <v>49</v>
      </c>
      <c r="N2" s="14" t="s">
        <v>50</v>
      </c>
      <c r="O2" s="14" t="s">
        <v>51</v>
      </c>
      <c r="P2" s="14" t="s">
        <v>24</v>
      </c>
      <c r="R2" s="14" t="s">
        <v>44</v>
      </c>
      <c r="S2" s="14" t="s">
        <v>45</v>
      </c>
      <c r="T2" s="14" t="s">
        <v>19</v>
      </c>
      <c r="U2" s="14" t="s">
        <v>46</v>
      </c>
      <c r="V2" s="14" t="s">
        <v>47</v>
      </c>
      <c r="W2" s="14" t="s">
        <v>13</v>
      </c>
      <c r="X2" s="14" t="s">
        <v>48</v>
      </c>
      <c r="Y2" s="14" t="s">
        <v>21</v>
      </c>
      <c r="Z2" s="14" t="s">
        <v>11</v>
      </c>
      <c r="AA2" s="14" t="s">
        <v>49</v>
      </c>
      <c r="AB2" s="14" t="s">
        <v>50</v>
      </c>
      <c r="AC2" s="14" t="s">
        <v>51</v>
      </c>
      <c r="AD2" s="14" t="s">
        <v>52</v>
      </c>
      <c r="AE2" s="14" t="s">
        <v>83</v>
      </c>
      <c r="AF2" s="14" t="s">
        <v>24</v>
      </c>
      <c r="AJ2" t="s">
        <v>53</v>
      </c>
      <c r="AM2" t="s">
        <v>54</v>
      </c>
    </row>
    <row r="3" spans="1:40" x14ac:dyDescent="0.3">
      <c r="A3" s="16" t="s">
        <v>12</v>
      </c>
      <c r="B3" s="16" t="s">
        <v>55</v>
      </c>
      <c r="C3" s="16" t="s">
        <v>56</v>
      </c>
      <c r="D3" s="17" t="s">
        <v>7</v>
      </c>
      <c r="E3" s="16" t="s">
        <v>7</v>
      </c>
      <c r="F3" s="16" t="s">
        <v>7</v>
      </c>
      <c r="G3" s="16" t="s">
        <v>57</v>
      </c>
      <c r="H3" s="16" t="s">
        <v>7</v>
      </c>
      <c r="I3" s="16" t="s">
        <v>7</v>
      </c>
      <c r="J3" s="16" t="s">
        <v>7</v>
      </c>
      <c r="K3" s="16" t="s">
        <v>7</v>
      </c>
      <c r="L3" s="16" t="s">
        <v>7</v>
      </c>
      <c r="M3" s="16" t="s">
        <v>7</v>
      </c>
      <c r="N3" s="16" t="s">
        <v>7</v>
      </c>
      <c r="O3" s="16" t="s">
        <v>7</v>
      </c>
      <c r="P3" s="16" t="s">
        <v>7</v>
      </c>
      <c r="R3" s="16" t="s">
        <v>58</v>
      </c>
      <c r="S3" s="16" t="s">
        <v>58</v>
      </c>
      <c r="T3" s="16" t="s">
        <v>58</v>
      </c>
      <c r="U3" s="16" t="s">
        <v>58</v>
      </c>
      <c r="V3" s="16" t="s">
        <v>58</v>
      </c>
      <c r="W3" s="16" t="s">
        <v>58</v>
      </c>
      <c r="X3" s="16" t="s">
        <v>58</v>
      </c>
      <c r="Y3" s="16" t="s">
        <v>58</v>
      </c>
      <c r="Z3" s="16" t="s">
        <v>58</v>
      </c>
      <c r="AA3" s="16" t="s">
        <v>58</v>
      </c>
      <c r="AB3" s="16" t="s">
        <v>58</v>
      </c>
      <c r="AC3" s="16" t="s">
        <v>58</v>
      </c>
      <c r="AD3" s="16" t="s">
        <v>58</v>
      </c>
      <c r="AE3" s="16" t="s">
        <v>58</v>
      </c>
      <c r="AF3" s="16" t="s">
        <v>58</v>
      </c>
      <c r="AJ3">
        <v>4.5</v>
      </c>
      <c r="AK3">
        <v>0</v>
      </c>
      <c r="AM3">
        <v>11.5</v>
      </c>
      <c r="AN3">
        <v>0</v>
      </c>
    </row>
    <row r="4" spans="1:40" x14ac:dyDescent="0.3">
      <c r="A4" s="16">
        <v>1</v>
      </c>
      <c r="B4" s="16">
        <v>1</v>
      </c>
      <c r="C4" s="16">
        <v>1</v>
      </c>
      <c r="D4">
        <v>60</v>
      </c>
      <c r="E4">
        <v>0</v>
      </c>
      <c r="F4">
        <v>51</v>
      </c>
      <c r="G4">
        <v>55</v>
      </c>
      <c r="H4">
        <v>5</v>
      </c>
      <c r="I4">
        <v>2</v>
      </c>
      <c r="J4">
        <v>1</v>
      </c>
      <c r="K4">
        <v>2</v>
      </c>
      <c r="L4">
        <v>2</v>
      </c>
      <c r="M4">
        <v>1</v>
      </c>
      <c r="N4">
        <v>0</v>
      </c>
      <c r="O4">
        <v>1</v>
      </c>
      <c r="P4">
        <v>11</v>
      </c>
      <c r="R4" s="15">
        <f t="shared" ref="R4:AC4" si="0">D4/$B4</f>
        <v>60</v>
      </c>
      <c r="S4" s="15">
        <f t="shared" si="0"/>
        <v>0</v>
      </c>
      <c r="T4" s="15">
        <f t="shared" si="0"/>
        <v>51</v>
      </c>
      <c r="U4" s="15">
        <f t="shared" si="0"/>
        <v>55</v>
      </c>
      <c r="V4" s="15">
        <f t="shared" si="0"/>
        <v>5</v>
      </c>
      <c r="W4" s="15">
        <f t="shared" si="0"/>
        <v>2</v>
      </c>
      <c r="X4" s="15">
        <f t="shared" si="0"/>
        <v>1</v>
      </c>
      <c r="Y4" s="15">
        <f t="shared" si="0"/>
        <v>2</v>
      </c>
      <c r="Z4" s="15">
        <f t="shared" si="0"/>
        <v>2</v>
      </c>
      <c r="AA4" s="15">
        <f t="shared" si="0"/>
        <v>1</v>
      </c>
      <c r="AB4" s="15">
        <f t="shared" si="0"/>
        <v>0</v>
      </c>
      <c r="AC4" s="15">
        <f t="shared" si="0"/>
        <v>1</v>
      </c>
      <c r="AD4" s="15">
        <f t="shared" ref="AD4:AD35" si="1">(M4+N4+O4)/B4</f>
        <v>2</v>
      </c>
      <c r="AE4" s="15">
        <f>(F4+I4+J4+K4+L4+M4+N4+O4)/$B4</f>
        <v>60</v>
      </c>
      <c r="AF4" s="15">
        <f t="shared" ref="AF4:AF35" si="2">P4/$B4</f>
        <v>11</v>
      </c>
      <c r="AJ4">
        <v>4.5</v>
      </c>
      <c r="AK4">
        <v>1000</v>
      </c>
      <c r="AM4">
        <v>11.5</v>
      </c>
      <c r="AN4">
        <v>1000</v>
      </c>
    </row>
    <row r="5" spans="1:40" x14ac:dyDescent="0.3">
      <c r="A5" s="16">
        <v>2</v>
      </c>
      <c r="B5" s="16">
        <v>1</v>
      </c>
      <c r="C5" s="16">
        <v>1</v>
      </c>
      <c r="D5">
        <v>56</v>
      </c>
      <c r="E5">
        <v>0</v>
      </c>
      <c r="F5">
        <v>45</v>
      </c>
      <c r="G5">
        <v>120</v>
      </c>
      <c r="H5">
        <v>4</v>
      </c>
      <c r="I5">
        <v>3</v>
      </c>
      <c r="J5">
        <v>3</v>
      </c>
      <c r="K5">
        <v>1</v>
      </c>
      <c r="L5">
        <v>1</v>
      </c>
      <c r="M5">
        <v>1</v>
      </c>
      <c r="N5">
        <v>2</v>
      </c>
      <c r="O5">
        <v>0</v>
      </c>
      <c r="P5">
        <v>16</v>
      </c>
      <c r="R5" s="15">
        <f t="shared" ref="R5:R36" si="3">D5/$B5</f>
        <v>56</v>
      </c>
      <c r="S5" s="15">
        <f t="shared" ref="S5:S36" si="4">E5/$B5</f>
        <v>0</v>
      </c>
      <c r="T5" s="15">
        <f t="shared" ref="T5:T36" si="5">F5/$B5</f>
        <v>45</v>
      </c>
      <c r="U5" s="15">
        <f t="shared" ref="U5:U13" si="6">G5-G4/$B5</f>
        <v>65</v>
      </c>
      <c r="V5" s="15">
        <f t="shared" ref="V5:V36" si="7">H5/$B5</f>
        <v>4</v>
      </c>
      <c r="W5" s="15">
        <f t="shared" ref="W5:W36" si="8">I5/$B5</f>
        <v>3</v>
      </c>
      <c r="X5" s="15">
        <f t="shared" ref="X5:X36" si="9">J5/$B5</f>
        <v>3</v>
      </c>
      <c r="Y5" s="15">
        <f t="shared" ref="Y5:Y36" si="10">K5/$B5</f>
        <v>1</v>
      </c>
      <c r="Z5" s="15">
        <f t="shared" ref="Z5:Z36" si="11">L5/$B5</f>
        <v>1</v>
      </c>
      <c r="AA5" s="15">
        <f t="shared" ref="AA5:AA36" si="12">M5/$B5</f>
        <v>1</v>
      </c>
      <c r="AB5" s="15">
        <f t="shared" ref="AB5:AB36" si="13">N5/$B5</f>
        <v>2</v>
      </c>
      <c r="AC5" s="15">
        <f t="shared" ref="AC5:AC36" si="14">O5/$B5</f>
        <v>0</v>
      </c>
      <c r="AD5" s="15">
        <f t="shared" si="1"/>
        <v>3</v>
      </c>
      <c r="AE5" s="15">
        <f t="shared" ref="AE5:AE68" si="15">(F5+I5+J5+K5+L5+M5+N5+O5)/$B5</f>
        <v>56</v>
      </c>
      <c r="AF5" s="15">
        <f t="shared" si="2"/>
        <v>16</v>
      </c>
    </row>
    <row r="6" spans="1:40" x14ac:dyDescent="0.3">
      <c r="A6" s="16">
        <v>3</v>
      </c>
      <c r="B6" s="16">
        <v>1</v>
      </c>
      <c r="C6" s="16">
        <v>1</v>
      </c>
      <c r="D6">
        <v>35</v>
      </c>
      <c r="E6">
        <v>0</v>
      </c>
      <c r="F6">
        <v>28</v>
      </c>
      <c r="G6">
        <v>170</v>
      </c>
      <c r="H6">
        <v>4</v>
      </c>
      <c r="I6">
        <v>2</v>
      </c>
      <c r="J6">
        <v>2</v>
      </c>
      <c r="K6">
        <v>1</v>
      </c>
      <c r="L6">
        <v>2</v>
      </c>
      <c r="M6">
        <v>1</v>
      </c>
      <c r="N6">
        <v>0</v>
      </c>
      <c r="O6">
        <v>1</v>
      </c>
      <c r="P6">
        <v>14</v>
      </c>
      <c r="R6" s="15">
        <f t="shared" si="3"/>
        <v>35</v>
      </c>
      <c r="S6" s="15">
        <f t="shared" si="4"/>
        <v>0</v>
      </c>
      <c r="T6" s="15">
        <f t="shared" si="5"/>
        <v>28</v>
      </c>
      <c r="U6" s="15">
        <f t="shared" si="6"/>
        <v>50</v>
      </c>
      <c r="V6" s="15">
        <f t="shared" si="7"/>
        <v>4</v>
      </c>
      <c r="W6" s="15">
        <f t="shared" si="8"/>
        <v>2</v>
      </c>
      <c r="X6" s="15">
        <f t="shared" si="9"/>
        <v>2</v>
      </c>
      <c r="Y6" s="15">
        <f t="shared" si="10"/>
        <v>1</v>
      </c>
      <c r="Z6" s="15">
        <f t="shared" si="11"/>
        <v>2</v>
      </c>
      <c r="AA6" s="15">
        <f t="shared" si="12"/>
        <v>1</v>
      </c>
      <c r="AB6" s="15">
        <f t="shared" si="13"/>
        <v>0</v>
      </c>
      <c r="AC6" s="15">
        <f t="shared" si="14"/>
        <v>1</v>
      </c>
      <c r="AD6" s="15">
        <f t="shared" si="1"/>
        <v>2</v>
      </c>
      <c r="AE6" s="15">
        <f t="shared" si="15"/>
        <v>37</v>
      </c>
      <c r="AF6" s="15">
        <f t="shared" si="2"/>
        <v>14</v>
      </c>
      <c r="AJ6">
        <v>7.5</v>
      </c>
      <c r="AK6">
        <v>0</v>
      </c>
      <c r="AM6">
        <v>12.5</v>
      </c>
      <c r="AN6">
        <v>0</v>
      </c>
    </row>
    <row r="7" spans="1:40" x14ac:dyDescent="0.3">
      <c r="A7" s="16">
        <v>4</v>
      </c>
      <c r="B7" s="16">
        <v>1</v>
      </c>
      <c r="C7" s="16">
        <v>1</v>
      </c>
      <c r="D7">
        <v>65</v>
      </c>
      <c r="E7">
        <v>0</v>
      </c>
      <c r="F7">
        <v>29</v>
      </c>
      <c r="G7">
        <v>235</v>
      </c>
      <c r="H7">
        <v>4</v>
      </c>
      <c r="I7">
        <v>2</v>
      </c>
      <c r="J7">
        <v>1</v>
      </c>
      <c r="K7">
        <v>2</v>
      </c>
      <c r="L7">
        <v>2</v>
      </c>
      <c r="M7">
        <v>0</v>
      </c>
      <c r="N7">
        <v>1</v>
      </c>
      <c r="O7">
        <v>1</v>
      </c>
      <c r="P7">
        <v>0</v>
      </c>
      <c r="R7" s="15">
        <f t="shared" si="3"/>
        <v>65</v>
      </c>
      <c r="S7" s="15">
        <f t="shared" si="4"/>
        <v>0</v>
      </c>
      <c r="T7" s="15">
        <f t="shared" si="5"/>
        <v>29</v>
      </c>
      <c r="U7" s="15">
        <f t="shared" si="6"/>
        <v>65</v>
      </c>
      <c r="V7" s="15">
        <f t="shared" si="7"/>
        <v>4</v>
      </c>
      <c r="W7" s="15">
        <f t="shared" si="8"/>
        <v>2</v>
      </c>
      <c r="X7" s="15">
        <f t="shared" si="9"/>
        <v>1</v>
      </c>
      <c r="Y7" s="15">
        <f t="shared" si="10"/>
        <v>2</v>
      </c>
      <c r="Z7" s="15">
        <f t="shared" si="11"/>
        <v>2</v>
      </c>
      <c r="AA7" s="15">
        <f t="shared" si="12"/>
        <v>0</v>
      </c>
      <c r="AB7" s="15">
        <f t="shared" si="13"/>
        <v>1</v>
      </c>
      <c r="AC7" s="15">
        <f t="shared" si="14"/>
        <v>1</v>
      </c>
      <c r="AD7" s="15">
        <f t="shared" si="1"/>
        <v>2</v>
      </c>
      <c r="AE7" s="15">
        <f t="shared" si="15"/>
        <v>38</v>
      </c>
      <c r="AF7" s="15">
        <f t="shared" si="2"/>
        <v>0</v>
      </c>
      <c r="AJ7">
        <v>7.5</v>
      </c>
      <c r="AK7">
        <v>1000</v>
      </c>
      <c r="AM7">
        <v>12.5</v>
      </c>
      <c r="AN7">
        <v>1000</v>
      </c>
    </row>
    <row r="8" spans="1:40" x14ac:dyDescent="0.3">
      <c r="A8" s="16">
        <v>5</v>
      </c>
      <c r="B8" s="16">
        <v>1</v>
      </c>
      <c r="C8" s="16">
        <v>2</v>
      </c>
      <c r="D8">
        <v>19</v>
      </c>
      <c r="E8">
        <v>33</v>
      </c>
      <c r="F8">
        <v>52</v>
      </c>
      <c r="G8">
        <v>285</v>
      </c>
      <c r="H8">
        <v>5</v>
      </c>
      <c r="I8">
        <v>0</v>
      </c>
      <c r="J8">
        <v>2</v>
      </c>
      <c r="K8">
        <v>1</v>
      </c>
      <c r="L8">
        <v>1</v>
      </c>
      <c r="M8">
        <v>0</v>
      </c>
      <c r="N8">
        <v>0</v>
      </c>
      <c r="O8">
        <v>1</v>
      </c>
      <c r="P8">
        <v>23</v>
      </c>
      <c r="R8" s="15">
        <f t="shared" si="3"/>
        <v>19</v>
      </c>
      <c r="S8" s="15">
        <f t="shared" si="4"/>
        <v>33</v>
      </c>
      <c r="T8" s="15">
        <f t="shared" si="5"/>
        <v>52</v>
      </c>
      <c r="U8" s="15">
        <f t="shared" si="6"/>
        <v>50</v>
      </c>
      <c r="V8" s="15">
        <f t="shared" si="7"/>
        <v>5</v>
      </c>
      <c r="W8" s="15">
        <f t="shared" si="8"/>
        <v>0</v>
      </c>
      <c r="X8" s="15">
        <f t="shared" si="9"/>
        <v>2</v>
      </c>
      <c r="Y8" s="15">
        <f t="shared" si="10"/>
        <v>1</v>
      </c>
      <c r="Z8" s="15">
        <f t="shared" si="11"/>
        <v>1</v>
      </c>
      <c r="AA8" s="15">
        <f t="shared" si="12"/>
        <v>0</v>
      </c>
      <c r="AB8" s="15">
        <f t="shared" si="13"/>
        <v>0</v>
      </c>
      <c r="AC8" s="15">
        <f t="shared" si="14"/>
        <v>1</v>
      </c>
      <c r="AD8" s="15">
        <f t="shared" si="1"/>
        <v>1</v>
      </c>
      <c r="AE8" s="15">
        <f t="shared" si="15"/>
        <v>57</v>
      </c>
      <c r="AF8" s="15">
        <f t="shared" si="2"/>
        <v>23</v>
      </c>
    </row>
    <row r="9" spans="1:40" x14ac:dyDescent="0.3">
      <c r="A9" s="16">
        <v>6</v>
      </c>
      <c r="B9" s="16">
        <v>1</v>
      </c>
      <c r="C9" s="16">
        <v>2</v>
      </c>
      <c r="D9">
        <v>2</v>
      </c>
      <c r="E9">
        <v>49</v>
      </c>
      <c r="F9">
        <v>42</v>
      </c>
      <c r="G9">
        <v>340</v>
      </c>
      <c r="H9">
        <v>4</v>
      </c>
      <c r="I9">
        <v>3</v>
      </c>
      <c r="J9">
        <v>1</v>
      </c>
      <c r="K9">
        <v>2</v>
      </c>
      <c r="L9">
        <v>2</v>
      </c>
      <c r="M9">
        <v>1</v>
      </c>
      <c r="N9">
        <v>0</v>
      </c>
      <c r="O9">
        <v>0</v>
      </c>
      <c r="P9">
        <v>15</v>
      </c>
      <c r="R9" s="15">
        <f t="shared" si="3"/>
        <v>2</v>
      </c>
      <c r="S9" s="15">
        <f t="shared" si="4"/>
        <v>49</v>
      </c>
      <c r="T9" s="15">
        <f t="shared" si="5"/>
        <v>42</v>
      </c>
      <c r="U9" s="15">
        <f t="shared" si="6"/>
        <v>55</v>
      </c>
      <c r="V9" s="15">
        <f t="shared" si="7"/>
        <v>4</v>
      </c>
      <c r="W9" s="15">
        <f t="shared" si="8"/>
        <v>3</v>
      </c>
      <c r="X9" s="15">
        <f t="shared" si="9"/>
        <v>1</v>
      </c>
      <c r="Y9" s="15">
        <f t="shared" si="10"/>
        <v>2</v>
      </c>
      <c r="Z9" s="15">
        <f t="shared" si="11"/>
        <v>2</v>
      </c>
      <c r="AA9" s="15">
        <f t="shared" si="12"/>
        <v>1</v>
      </c>
      <c r="AB9" s="15">
        <f t="shared" si="13"/>
        <v>0</v>
      </c>
      <c r="AC9" s="15">
        <f t="shared" si="14"/>
        <v>0</v>
      </c>
      <c r="AD9" s="15">
        <f t="shared" si="1"/>
        <v>1</v>
      </c>
      <c r="AE9" s="15">
        <f t="shared" si="15"/>
        <v>51</v>
      </c>
      <c r="AF9" s="15">
        <f t="shared" si="2"/>
        <v>15</v>
      </c>
      <c r="AM9">
        <v>13.5</v>
      </c>
      <c r="AN9">
        <v>0</v>
      </c>
    </row>
    <row r="10" spans="1:40" x14ac:dyDescent="0.3">
      <c r="A10" s="16">
        <v>7</v>
      </c>
      <c r="B10" s="16">
        <v>1</v>
      </c>
      <c r="C10" s="16">
        <v>2</v>
      </c>
      <c r="D10">
        <v>0</v>
      </c>
      <c r="E10">
        <v>74</v>
      </c>
      <c r="F10">
        <v>29</v>
      </c>
      <c r="G10">
        <v>390</v>
      </c>
      <c r="H10">
        <v>3</v>
      </c>
      <c r="I10">
        <v>2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9</v>
      </c>
      <c r="R10" s="15">
        <f t="shared" si="3"/>
        <v>0</v>
      </c>
      <c r="S10" s="15">
        <f t="shared" si="4"/>
        <v>74</v>
      </c>
      <c r="T10" s="15">
        <f t="shared" si="5"/>
        <v>29</v>
      </c>
      <c r="U10" s="15">
        <f t="shared" si="6"/>
        <v>50</v>
      </c>
      <c r="V10" s="15">
        <f t="shared" si="7"/>
        <v>3</v>
      </c>
      <c r="W10" s="15">
        <f t="shared" si="8"/>
        <v>2</v>
      </c>
      <c r="X10" s="15">
        <f t="shared" si="9"/>
        <v>1</v>
      </c>
      <c r="Y10" s="15">
        <f t="shared" si="10"/>
        <v>0</v>
      </c>
      <c r="Z10" s="15">
        <f t="shared" si="11"/>
        <v>1</v>
      </c>
      <c r="AA10" s="15">
        <f t="shared" si="12"/>
        <v>0</v>
      </c>
      <c r="AB10" s="15">
        <f t="shared" si="13"/>
        <v>1</v>
      </c>
      <c r="AC10" s="15">
        <f t="shared" si="14"/>
        <v>1</v>
      </c>
      <c r="AD10" s="15">
        <f t="shared" si="1"/>
        <v>2</v>
      </c>
      <c r="AE10" s="15">
        <f t="shared" si="15"/>
        <v>35</v>
      </c>
      <c r="AF10" s="15">
        <f t="shared" si="2"/>
        <v>9</v>
      </c>
      <c r="AM10">
        <v>13.5</v>
      </c>
      <c r="AN10">
        <v>1000</v>
      </c>
    </row>
    <row r="11" spans="1:40" x14ac:dyDescent="0.3">
      <c r="A11" s="16">
        <v>8</v>
      </c>
      <c r="B11" s="16">
        <v>1</v>
      </c>
      <c r="C11" s="16">
        <v>4</v>
      </c>
      <c r="D11">
        <v>15</v>
      </c>
      <c r="E11">
        <v>17</v>
      </c>
      <c r="F11">
        <v>35</v>
      </c>
      <c r="G11">
        <v>390</v>
      </c>
      <c r="H11">
        <v>5</v>
      </c>
      <c r="I11">
        <v>2</v>
      </c>
      <c r="J11">
        <v>2</v>
      </c>
      <c r="K11">
        <v>1</v>
      </c>
      <c r="L11">
        <v>2</v>
      </c>
      <c r="M11">
        <v>0</v>
      </c>
      <c r="N11">
        <v>0</v>
      </c>
      <c r="O11">
        <v>0</v>
      </c>
      <c r="P11">
        <v>40</v>
      </c>
      <c r="R11" s="15">
        <f t="shared" si="3"/>
        <v>15</v>
      </c>
      <c r="S11" s="15">
        <f t="shared" si="4"/>
        <v>17</v>
      </c>
      <c r="T11" s="15">
        <f t="shared" si="5"/>
        <v>35</v>
      </c>
      <c r="U11" s="15">
        <f t="shared" si="6"/>
        <v>0</v>
      </c>
      <c r="V11" s="15">
        <f t="shared" si="7"/>
        <v>5</v>
      </c>
      <c r="W11" s="15">
        <f t="shared" si="8"/>
        <v>2</v>
      </c>
      <c r="X11" s="15">
        <f t="shared" si="9"/>
        <v>2</v>
      </c>
      <c r="Y11" s="15">
        <f t="shared" si="10"/>
        <v>1</v>
      </c>
      <c r="Z11" s="15">
        <f t="shared" si="11"/>
        <v>2</v>
      </c>
      <c r="AA11" s="15">
        <f t="shared" si="12"/>
        <v>0</v>
      </c>
      <c r="AB11" s="15">
        <f t="shared" si="13"/>
        <v>0</v>
      </c>
      <c r="AC11" s="15">
        <f t="shared" si="14"/>
        <v>0</v>
      </c>
      <c r="AD11" s="15">
        <f t="shared" si="1"/>
        <v>0</v>
      </c>
      <c r="AE11" s="15">
        <f t="shared" si="15"/>
        <v>42</v>
      </c>
      <c r="AF11" s="15">
        <f t="shared" si="2"/>
        <v>40</v>
      </c>
    </row>
    <row r="12" spans="1:40" x14ac:dyDescent="0.3">
      <c r="A12" s="16">
        <v>9</v>
      </c>
      <c r="B12" s="16">
        <v>1</v>
      </c>
      <c r="C12" s="16">
        <v>4</v>
      </c>
      <c r="D12">
        <v>1</v>
      </c>
      <c r="E12">
        <v>2</v>
      </c>
      <c r="F12">
        <v>53</v>
      </c>
      <c r="G12">
        <v>390</v>
      </c>
      <c r="H12">
        <v>4</v>
      </c>
      <c r="I12">
        <v>2</v>
      </c>
      <c r="J12">
        <v>2</v>
      </c>
      <c r="K12">
        <v>1</v>
      </c>
      <c r="L12">
        <v>1</v>
      </c>
      <c r="M12">
        <v>0</v>
      </c>
      <c r="N12">
        <v>0</v>
      </c>
      <c r="O12">
        <v>1</v>
      </c>
      <c r="P12">
        <v>1</v>
      </c>
      <c r="R12" s="15">
        <f t="shared" si="3"/>
        <v>1</v>
      </c>
      <c r="S12" s="15">
        <f t="shared" si="4"/>
        <v>2</v>
      </c>
      <c r="T12" s="15">
        <f t="shared" si="5"/>
        <v>53</v>
      </c>
      <c r="U12" s="15">
        <f t="shared" si="6"/>
        <v>0</v>
      </c>
      <c r="V12" s="15">
        <f t="shared" si="7"/>
        <v>4</v>
      </c>
      <c r="W12" s="15">
        <f t="shared" si="8"/>
        <v>2</v>
      </c>
      <c r="X12" s="15">
        <f t="shared" si="9"/>
        <v>2</v>
      </c>
      <c r="Y12" s="15">
        <f t="shared" si="10"/>
        <v>1</v>
      </c>
      <c r="Z12" s="15">
        <f t="shared" si="11"/>
        <v>1</v>
      </c>
      <c r="AA12" s="15">
        <f t="shared" si="12"/>
        <v>0</v>
      </c>
      <c r="AB12" s="15">
        <f t="shared" si="13"/>
        <v>0</v>
      </c>
      <c r="AC12" s="15">
        <f t="shared" si="14"/>
        <v>1</v>
      </c>
      <c r="AD12" s="15">
        <f t="shared" si="1"/>
        <v>1</v>
      </c>
      <c r="AE12" s="15">
        <f t="shared" si="15"/>
        <v>60</v>
      </c>
      <c r="AF12" s="15">
        <f t="shared" si="2"/>
        <v>1</v>
      </c>
    </row>
    <row r="13" spans="1:40" x14ac:dyDescent="0.3">
      <c r="A13" s="16">
        <v>10</v>
      </c>
      <c r="B13" s="16">
        <v>1</v>
      </c>
      <c r="C13" s="16">
        <v>4</v>
      </c>
      <c r="D13">
        <v>1</v>
      </c>
      <c r="E13">
        <v>1</v>
      </c>
      <c r="F13">
        <v>79</v>
      </c>
      <c r="G13">
        <v>390</v>
      </c>
      <c r="H13">
        <v>4</v>
      </c>
      <c r="I13">
        <v>3</v>
      </c>
      <c r="J13">
        <v>1</v>
      </c>
      <c r="K13">
        <v>2</v>
      </c>
      <c r="L13">
        <v>2</v>
      </c>
      <c r="M13">
        <v>1</v>
      </c>
      <c r="N13">
        <v>0</v>
      </c>
      <c r="O13">
        <v>0</v>
      </c>
      <c r="P13">
        <v>0</v>
      </c>
      <c r="R13" s="15">
        <f t="shared" si="3"/>
        <v>1</v>
      </c>
      <c r="S13" s="15">
        <f t="shared" si="4"/>
        <v>1</v>
      </c>
      <c r="T13" s="15">
        <f t="shared" si="5"/>
        <v>79</v>
      </c>
      <c r="U13" s="15">
        <f t="shared" si="6"/>
        <v>0</v>
      </c>
      <c r="V13" s="15">
        <f t="shared" si="7"/>
        <v>4</v>
      </c>
      <c r="W13" s="15">
        <f t="shared" si="8"/>
        <v>3</v>
      </c>
      <c r="X13" s="15">
        <f t="shared" si="9"/>
        <v>1</v>
      </c>
      <c r="Y13" s="15">
        <f t="shared" si="10"/>
        <v>2</v>
      </c>
      <c r="Z13" s="15">
        <f t="shared" si="11"/>
        <v>2</v>
      </c>
      <c r="AA13" s="15">
        <f t="shared" si="12"/>
        <v>1</v>
      </c>
      <c r="AB13" s="15">
        <f t="shared" si="13"/>
        <v>0</v>
      </c>
      <c r="AC13" s="15">
        <f t="shared" si="14"/>
        <v>0</v>
      </c>
      <c r="AD13" s="15">
        <f t="shared" si="1"/>
        <v>1</v>
      </c>
      <c r="AE13" s="15">
        <f t="shared" si="15"/>
        <v>88</v>
      </c>
      <c r="AF13" s="15">
        <f t="shared" si="2"/>
        <v>0</v>
      </c>
    </row>
    <row r="14" spans="1:40" x14ac:dyDescent="0.3">
      <c r="A14" s="16">
        <v>11</v>
      </c>
      <c r="B14" s="16">
        <v>1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R14" s="15" t="e">
        <f t="shared" si="3"/>
        <v>#N/A</v>
      </c>
      <c r="S14" s="15" t="e">
        <f t="shared" si="4"/>
        <v>#N/A</v>
      </c>
      <c r="T14" s="15" t="e">
        <f t="shared" si="5"/>
        <v>#N/A</v>
      </c>
      <c r="U14" s="15" t="e">
        <f t="shared" ref="U14:U45" si="16">G14/$B14</f>
        <v>#N/A</v>
      </c>
      <c r="V14" s="15" t="e">
        <f t="shared" si="7"/>
        <v>#N/A</v>
      </c>
      <c r="W14" s="15" t="e">
        <f t="shared" si="8"/>
        <v>#N/A</v>
      </c>
      <c r="X14" s="15" t="e">
        <f t="shared" si="9"/>
        <v>#N/A</v>
      </c>
      <c r="Y14" s="15" t="e">
        <f t="shared" si="10"/>
        <v>#N/A</v>
      </c>
      <c r="Z14" s="15" t="e">
        <f t="shared" si="11"/>
        <v>#N/A</v>
      </c>
      <c r="AA14" s="15" t="e">
        <f t="shared" si="12"/>
        <v>#N/A</v>
      </c>
      <c r="AB14" s="15" t="e">
        <f t="shared" si="13"/>
        <v>#N/A</v>
      </c>
      <c r="AC14" s="15" t="e">
        <f t="shared" si="14"/>
        <v>#N/A</v>
      </c>
      <c r="AD14" s="15" t="e">
        <f t="shared" si="1"/>
        <v>#N/A</v>
      </c>
      <c r="AE14" s="15" t="e">
        <f t="shared" si="15"/>
        <v>#N/A</v>
      </c>
      <c r="AF14" s="15" t="e">
        <f t="shared" si="2"/>
        <v>#N/A</v>
      </c>
    </row>
    <row r="15" spans="1:40" x14ac:dyDescent="0.3">
      <c r="A15" s="16">
        <v>12</v>
      </c>
      <c r="B15" s="16">
        <v>1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R15" s="15" t="e">
        <f t="shared" si="3"/>
        <v>#N/A</v>
      </c>
      <c r="S15" s="15" t="e">
        <f t="shared" si="4"/>
        <v>#N/A</v>
      </c>
      <c r="T15" s="15" t="e">
        <f t="shared" si="5"/>
        <v>#N/A</v>
      </c>
      <c r="U15" s="15" t="e">
        <f t="shared" si="16"/>
        <v>#N/A</v>
      </c>
      <c r="V15" s="15" t="e">
        <f t="shared" si="7"/>
        <v>#N/A</v>
      </c>
      <c r="W15" s="15" t="e">
        <f t="shared" si="8"/>
        <v>#N/A</v>
      </c>
      <c r="X15" s="15" t="e">
        <f t="shared" si="9"/>
        <v>#N/A</v>
      </c>
      <c r="Y15" s="15" t="e">
        <f t="shared" si="10"/>
        <v>#N/A</v>
      </c>
      <c r="Z15" s="15" t="e">
        <f t="shared" si="11"/>
        <v>#N/A</v>
      </c>
      <c r="AA15" s="15" t="e">
        <f t="shared" si="12"/>
        <v>#N/A</v>
      </c>
      <c r="AB15" s="15" t="e">
        <f t="shared" si="13"/>
        <v>#N/A</v>
      </c>
      <c r="AC15" s="15" t="e">
        <f t="shared" si="14"/>
        <v>#N/A</v>
      </c>
      <c r="AD15" s="15" t="e">
        <f t="shared" si="1"/>
        <v>#N/A</v>
      </c>
      <c r="AE15" s="15" t="e">
        <f t="shared" si="15"/>
        <v>#N/A</v>
      </c>
      <c r="AF15" s="15" t="e">
        <f t="shared" si="2"/>
        <v>#N/A</v>
      </c>
    </row>
    <row r="16" spans="1:40" x14ac:dyDescent="0.3">
      <c r="A16" s="16">
        <v>13</v>
      </c>
      <c r="B16" s="16">
        <v>1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R16" s="15" t="e">
        <f t="shared" si="3"/>
        <v>#N/A</v>
      </c>
      <c r="S16" s="15" t="e">
        <f t="shared" si="4"/>
        <v>#N/A</v>
      </c>
      <c r="T16" s="15" t="e">
        <f t="shared" si="5"/>
        <v>#N/A</v>
      </c>
      <c r="U16" s="15" t="e">
        <f t="shared" si="16"/>
        <v>#N/A</v>
      </c>
      <c r="V16" s="15" t="e">
        <f t="shared" si="7"/>
        <v>#N/A</v>
      </c>
      <c r="W16" s="15" t="e">
        <f t="shared" si="8"/>
        <v>#N/A</v>
      </c>
      <c r="X16" s="15" t="e">
        <f t="shared" si="9"/>
        <v>#N/A</v>
      </c>
      <c r="Y16" s="15" t="e">
        <f t="shared" si="10"/>
        <v>#N/A</v>
      </c>
      <c r="Z16" s="15" t="e">
        <f t="shared" si="11"/>
        <v>#N/A</v>
      </c>
      <c r="AA16" s="15" t="e">
        <f t="shared" si="12"/>
        <v>#N/A</v>
      </c>
      <c r="AB16" s="15" t="e">
        <f t="shared" si="13"/>
        <v>#N/A</v>
      </c>
      <c r="AC16" s="15" t="e">
        <f t="shared" si="14"/>
        <v>#N/A</v>
      </c>
      <c r="AD16" s="15" t="e">
        <f t="shared" si="1"/>
        <v>#N/A</v>
      </c>
      <c r="AE16" s="15" t="e">
        <f t="shared" si="15"/>
        <v>#N/A</v>
      </c>
      <c r="AF16" s="15" t="e">
        <f t="shared" si="2"/>
        <v>#N/A</v>
      </c>
    </row>
    <row r="17" spans="1:32" x14ac:dyDescent="0.3">
      <c r="A17" s="16">
        <v>14</v>
      </c>
      <c r="B17" s="16">
        <v>1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R17" s="15" t="e">
        <f t="shared" si="3"/>
        <v>#N/A</v>
      </c>
      <c r="S17" s="15" t="e">
        <f t="shared" si="4"/>
        <v>#N/A</v>
      </c>
      <c r="T17" s="15" t="e">
        <f t="shared" si="5"/>
        <v>#N/A</v>
      </c>
      <c r="U17" s="15" t="e">
        <f t="shared" si="16"/>
        <v>#N/A</v>
      </c>
      <c r="V17" s="15" t="e">
        <f t="shared" si="7"/>
        <v>#N/A</v>
      </c>
      <c r="W17" s="15" t="e">
        <f t="shared" si="8"/>
        <v>#N/A</v>
      </c>
      <c r="X17" s="15" t="e">
        <f t="shared" si="9"/>
        <v>#N/A</v>
      </c>
      <c r="Y17" s="15" t="e">
        <f t="shared" si="10"/>
        <v>#N/A</v>
      </c>
      <c r="Z17" s="15" t="e">
        <f t="shared" si="11"/>
        <v>#N/A</v>
      </c>
      <c r="AA17" s="15" t="e">
        <f t="shared" si="12"/>
        <v>#N/A</v>
      </c>
      <c r="AB17" s="15" t="e">
        <f t="shared" si="13"/>
        <v>#N/A</v>
      </c>
      <c r="AC17" s="15" t="e">
        <f t="shared" si="14"/>
        <v>#N/A</v>
      </c>
      <c r="AD17" s="15" t="e">
        <f t="shared" si="1"/>
        <v>#N/A</v>
      </c>
      <c r="AE17" s="15" t="e">
        <f t="shared" si="15"/>
        <v>#N/A</v>
      </c>
      <c r="AF17" s="15" t="e">
        <f t="shared" si="2"/>
        <v>#N/A</v>
      </c>
    </row>
    <row r="18" spans="1:32" x14ac:dyDescent="0.3">
      <c r="A18" s="16">
        <v>15</v>
      </c>
      <c r="B18" s="16">
        <v>1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R18" s="15" t="e">
        <f t="shared" si="3"/>
        <v>#N/A</v>
      </c>
      <c r="S18" s="15" t="e">
        <f t="shared" si="4"/>
        <v>#N/A</v>
      </c>
      <c r="T18" s="15" t="e">
        <f t="shared" si="5"/>
        <v>#N/A</v>
      </c>
      <c r="U18" s="15" t="e">
        <f t="shared" si="16"/>
        <v>#N/A</v>
      </c>
      <c r="V18" s="15" t="e">
        <f t="shared" si="7"/>
        <v>#N/A</v>
      </c>
      <c r="W18" s="15" t="e">
        <f t="shared" si="8"/>
        <v>#N/A</v>
      </c>
      <c r="X18" s="15" t="e">
        <f t="shared" si="9"/>
        <v>#N/A</v>
      </c>
      <c r="Y18" s="15" t="e">
        <f t="shared" si="10"/>
        <v>#N/A</v>
      </c>
      <c r="Z18" s="15" t="e">
        <f t="shared" si="11"/>
        <v>#N/A</v>
      </c>
      <c r="AA18" s="15" t="e">
        <f t="shared" si="12"/>
        <v>#N/A</v>
      </c>
      <c r="AB18" s="15" t="e">
        <f t="shared" si="13"/>
        <v>#N/A</v>
      </c>
      <c r="AC18" s="15" t="e">
        <f t="shared" si="14"/>
        <v>#N/A</v>
      </c>
      <c r="AD18" s="15" t="e">
        <f t="shared" si="1"/>
        <v>#N/A</v>
      </c>
      <c r="AE18" s="15" t="e">
        <f t="shared" si="15"/>
        <v>#N/A</v>
      </c>
      <c r="AF18" s="15" t="e">
        <f t="shared" si="2"/>
        <v>#N/A</v>
      </c>
    </row>
    <row r="19" spans="1:32" x14ac:dyDescent="0.3">
      <c r="A19" s="16">
        <v>16</v>
      </c>
      <c r="B19" s="16">
        <v>1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R19" s="15" t="e">
        <f t="shared" si="3"/>
        <v>#N/A</v>
      </c>
      <c r="S19" s="15" t="e">
        <f t="shared" si="4"/>
        <v>#N/A</v>
      </c>
      <c r="T19" s="15" t="e">
        <f t="shared" si="5"/>
        <v>#N/A</v>
      </c>
      <c r="U19" s="15" t="e">
        <f t="shared" si="16"/>
        <v>#N/A</v>
      </c>
      <c r="V19" s="15" t="e">
        <f t="shared" si="7"/>
        <v>#N/A</v>
      </c>
      <c r="W19" s="15" t="e">
        <f t="shared" si="8"/>
        <v>#N/A</v>
      </c>
      <c r="X19" s="15" t="e">
        <f t="shared" si="9"/>
        <v>#N/A</v>
      </c>
      <c r="Y19" s="15" t="e">
        <f t="shared" si="10"/>
        <v>#N/A</v>
      </c>
      <c r="Z19" s="15" t="e">
        <f t="shared" si="11"/>
        <v>#N/A</v>
      </c>
      <c r="AA19" s="15" t="e">
        <f t="shared" si="12"/>
        <v>#N/A</v>
      </c>
      <c r="AB19" s="15" t="e">
        <f t="shared" si="13"/>
        <v>#N/A</v>
      </c>
      <c r="AC19" s="15" t="e">
        <f t="shared" si="14"/>
        <v>#N/A</v>
      </c>
      <c r="AD19" s="15" t="e">
        <f t="shared" si="1"/>
        <v>#N/A</v>
      </c>
      <c r="AE19" s="15" t="e">
        <f t="shared" si="15"/>
        <v>#N/A</v>
      </c>
      <c r="AF19" s="15" t="e">
        <f t="shared" si="2"/>
        <v>#N/A</v>
      </c>
    </row>
    <row r="20" spans="1:32" x14ac:dyDescent="0.3">
      <c r="A20" s="16">
        <v>17</v>
      </c>
      <c r="B20" s="16">
        <v>1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R20" s="15" t="e">
        <f t="shared" si="3"/>
        <v>#N/A</v>
      </c>
      <c r="S20" s="15" t="e">
        <f t="shared" si="4"/>
        <v>#N/A</v>
      </c>
      <c r="T20" s="15" t="e">
        <f t="shared" si="5"/>
        <v>#N/A</v>
      </c>
      <c r="U20" s="15" t="e">
        <f t="shared" si="16"/>
        <v>#N/A</v>
      </c>
      <c r="V20" s="15" t="e">
        <f t="shared" si="7"/>
        <v>#N/A</v>
      </c>
      <c r="W20" s="15" t="e">
        <f t="shared" si="8"/>
        <v>#N/A</v>
      </c>
      <c r="X20" s="15" t="e">
        <f t="shared" si="9"/>
        <v>#N/A</v>
      </c>
      <c r="Y20" s="15" t="e">
        <f t="shared" si="10"/>
        <v>#N/A</v>
      </c>
      <c r="Z20" s="15" t="e">
        <f t="shared" si="11"/>
        <v>#N/A</v>
      </c>
      <c r="AA20" s="15" t="e">
        <f t="shared" si="12"/>
        <v>#N/A</v>
      </c>
      <c r="AB20" s="15" t="e">
        <f t="shared" si="13"/>
        <v>#N/A</v>
      </c>
      <c r="AC20" s="15" t="e">
        <f t="shared" si="14"/>
        <v>#N/A</v>
      </c>
      <c r="AD20" s="15" t="e">
        <f t="shared" si="1"/>
        <v>#N/A</v>
      </c>
      <c r="AE20" s="15" t="e">
        <f t="shared" si="15"/>
        <v>#N/A</v>
      </c>
      <c r="AF20" s="15" t="e">
        <f t="shared" si="2"/>
        <v>#N/A</v>
      </c>
    </row>
    <row r="21" spans="1:32" x14ac:dyDescent="0.3">
      <c r="A21" s="16">
        <v>18</v>
      </c>
      <c r="B21" s="16">
        <v>1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R21" s="15" t="e">
        <f t="shared" si="3"/>
        <v>#N/A</v>
      </c>
      <c r="S21" s="15" t="e">
        <f t="shared" si="4"/>
        <v>#N/A</v>
      </c>
      <c r="T21" s="15" t="e">
        <f t="shared" si="5"/>
        <v>#N/A</v>
      </c>
      <c r="U21" s="15" t="e">
        <f t="shared" si="16"/>
        <v>#N/A</v>
      </c>
      <c r="V21" s="15" t="e">
        <f t="shared" si="7"/>
        <v>#N/A</v>
      </c>
      <c r="W21" s="15" t="e">
        <f t="shared" si="8"/>
        <v>#N/A</v>
      </c>
      <c r="X21" s="15" t="e">
        <f t="shared" si="9"/>
        <v>#N/A</v>
      </c>
      <c r="Y21" s="15" t="e">
        <f t="shared" si="10"/>
        <v>#N/A</v>
      </c>
      <c r="Z21" s="15" t="e">
        <f t="shared" si="11"/>
        <v>#N/A</v>
      </c>
      <c r="AA21" s="15" t="e">
        <f t="shared" si="12"/>
        <v>#N/A</v>
      </c>
      <c r="AB21" s="15" t="e">
        <f t="shared" si="13"/>
        <v>#N/A</v>
      </c>
      <c r="AC21" s="15" t="e">
        <f t="shared" si="14"/>
        <v>#N/A</v>
      </c>
      <c r="AD21" s="15" t="e">
        <f t="shared" si="1"/>
        <v>#N/A</v>
      </c>
      <c r="AE21" s="15" t="e">
        <f t="shared" si="15"/>
        <v>#N/A</v>
      </c>
      <c r="AF21" s="15" t="e">
        <f t="shared" si="2"/>
        <v>#N/A</v>
      </c>
    </row>
    <row r="22" spans="1:32" x14ac:dyDescent="0.3">
      <c r="A22" s="16">
        <v>19</v>
      </c>
      <c r="B22" s="16">
        <v>1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R22" s="15" t="e">
        <f t="shared" si="3"/>
        <v>#N/A</v>
      </c>
      <c r="S22" s="15" t="e">
        <f t="shared" si="4"/>
        <v>#N/A</v>
      </c>
      <c r="T22" s="15" t="e">
        <f t="shared" si="5"/>
        <v>#N/A</v>
      </c>
      <c r="U22" s="15" t="e">
        <f t="shared" si="16"/>
        <v>#N/A</v>
      </c>
      <c r="V22" s="15" t="e">
        <f t="shared" si="7"/>
        <v>#N/A</v>
      </c>
      <c r="W22" s="15" t="e">
        <f t="shared" si="8"/>
        <v>#N/A</v>
      </c>
      <c r="X22" s="15" t="e">
        <f t="shared" si="9"/>
        <v>#N/A</v>
      </c>
      <c r="Y22" s="15" t="e">
        <f t="shared" si="10"/>
        <v>#N/A</v>
      </c>
      <c r="Z22" s="15" t="e">
        <f t="shared" si="11"/>
        <v>#N/A</v>
      </c>
      <c r="AA22" s="15" t="e">
        <f t="shared" si="12"/>
        <v>#N/A</v>
      </c>
      <c r="AB22" s="15" t="e">
        <f t="shared" si="13"/>
        <v>#N/A</v>
      </c>
      <c r="AC22" s="15" t="e">
        <f t="shared" si="14"/>
        <v>#N/A</v>
      </c>
      <c r="AD22" s="15" t="e">
        <f t="shared" si="1"/>
        <v>#N/A</v>
      </c>
      <c r="AE22" s="15" t="e">
        <f t="shared" si="15"/>
        <v>#N/A</v>
      </c>
      <c r="AF22" s="15" t="e">
        <f t="shared" si="2"/>
        <v>#N/A</v>
      </c>
    </row>
    <row r="23" spans="1:32" x14ac:dyDescent="0.3">
      <c r="A23" s="16">
        <v>20</v>
      </c>
      <c r="B23" s="16">
        <v>1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R23" s="15" t="e">
        <f t="shared" si="3"/>
        <v>#N/A</v>
      </c>
      <c r="S23" s="15" t="e">
        <f t="shared" si="4"/>
        <v>#N/A</v>
      </c>
      <c r="T23" s="15" t="e">
        <f t="shared" si="5"/>
        <v>#N/A</v>
      </c>
      <c r="U23" s="15" t="e">
        <f t="shared" si="16"/>
        <v>#N/A</v>
      </c>
      <c r="V23" s="15" t="e">
        <f t="shared" si="7"/>
        <v>#N/A</v>
      </c>
      <c r="W23" s="15" t="e">
        <f t="shared" si="8"/>
        <v>#N/A</v>
      </c>
      <c r="X23" s="15" t="e">
        <f t="shared" si="9"/>
        <v>#N/A</v>
      </c>
      <c r="Y23" s="15" t="e">
        <f t="shared" si="10"/>
        <v>#N/A</v>
      </c>
      <c r="Z23" s="15" t="e">
        <f t="shared" si="11"/>
        <v>#N/A</v>
      </c>
      <c r="AA23" s="15" t="e">
        <f t="shared" si="12"/>
        <v>#N/A</v>
      </c>
      <c r="AB23" s="15" t="e">
        <f t="shared" si="13"/>
        <v>#N/A</v>
      </c>
      <c r="AC23" s="15" t="e">
        <f t="shared" si="14"/>
        <v>#N/A</v>
      </c>
      <c r="AD23" s="15" t="e">
        <f t="shared" si="1"/>
        <v>#N/A</v>
      </c>
      <c r="AE23" s="15" t="e">
        <f t="shared" si="15"/>
        <v>#N/A</v>
      </c>
      <c r="AF23" s="15" t="e">
        <f t="shared" si="2"/>
        <v>#N/A</v>
      </c>
    </row>
    <row r="24" spans="1:32" x14ac:dyDescent="0.3">
      <c r="A24" s="16">
        <v>21</v>
      </c>
      <c r="B24" s="16">
        <v>1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R24" s="15" t="e">
        <f t="shared" si="3"/>
        <v>#N/A</v>
      </c>
      <c r="S24" s="15" t="e">
        <f t="shared" si="4"/>
        <v>#N/A</v>
      </c>
      <c r="T24" s="15" t="e">
        <f t="shared" si="5"/>
        <v>#N/A</v>
      </c>
      <c r="U24" s="15" t="e">
        <f t="shared" si="16"/>
        <v>#N/A</v>
      </c>
      <c r="V24" s="15" t="e">
        <f t="shared" si="7"/>
        <v>#N/A</v>
      </c>
      <c r="W24" s="15" t="e">
        <f t="shared" si="8"/>
        <v>#N/A</v>
      </c>
      <c r="X24" s="15" t="e">
        <f t="shared" si="9"/>
        <v>#N/A</v>
      </c>
      <c r="Y24" s="15" t="e">
        <f t="shared" si="10"/>
        <v>#N/A</v>
      </c>
      <c r="Z24" s="15" t="e">
        <f t="shared" si="11"/>
        <v>#N/A</v>
      </c>
      <c r="AA24" s="15" t="e">
        <f t="shared" si="12"/>
        <v>#N/A</v>
      </c>
      <c r="AB24" s="15" t="e">
        <f t="shared" si="13"/>
        <v>#N/A</v>
      </c>
      <c r="AC24" s="15" t="e">
        <f t="shared" si="14"/>
        <v>#N/A</v>
      </c>
      <c r="AD24" s="15" t="e">
        <f t="shared" si="1"/>
        <v>#N/A</v>
      </c>
      <c r="AE24" s="15" t="e">
        <f t="shared" si="15"/>
        <v>#N/A</v>
      </c>
      <c r="AF24" s="15" t="e">
        <f t="shared" si="2"/>
        <v>#N/A</v>
      </c>
    </row>
    <row r="25" spans="1:32" x14ac:dyDescent="0.3">
      <c r="A25" s="16">
        <v>22</v>
      </c>
      <c r="B25" s="16">
        <v>1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R25" s="15" t="e">
        <f t="shared" si="3"/>
        <v>#N/A</v>
      </c>
      <c r="S25" s="15" t="e">
        <f t="shared" si="4"/>
        <v>#N/A</v>
      </c>
      <c r="T25" s="15" t="e">
        <f t="shared" si="5"/>
        <v>#N/A</v>
      </c>
      <c r="U25" s="15" t="e">
        <f t="shared" si="16"/>
        <v>#N/A</v>
      </c>
      <c r="V25" s="15" t="e">
        <f t="shared" si="7"/>
        <v>#N/A</v>
      </c>
      <c r="W25" s="15" t="e">
        <f t="shared" si="8"/>
        <v>#N/A</v>
      </c>
      <c r="X25" s="15" t="e">
        <f t="shared" si="9"/>
        <v>#N/A</v>
      </c>
      <c r="Y25" s="15" t="e">
        <f t="shared" si="10"/>
        <v>#N/A</v>
      </c>
      <c r="Z25" s="15" t="e">
        <f t="shared" si="11"/>
        <v>#N/A</v>
      </c>
      <c r="AA25" s="15" t="e">
        <f t="shared" si="12"/>
        <v>#N/A</v>
      </c>
      <c r="AB25" s="15" t="e">
        <f t="shared" si="13"/>
        <v>#N/A</v>
      </c>
      <c r="AC25" s="15" t="e">
        <f t="shared" si="14"/>
        <v>#N/A</v>
      </c>
      <c r="AD25" s="15" t="e">
        <f t="shared" si="1"/>
        <v>#N/A</v>
      </c>
      <c r="AE25" s="15" t="e">
        <f t="shared" si="15"/>
        <v>#N/A</v>
      </c>
      <c r="AF25" s="15" t="e">
        <f t="shared" si="2"/>
        <v>#N/A</v>
      </c>
    </row>
    <row r="26" spans="1:32" x14ac:dyDescent="0.3">
      <c r="A26" s="16">
        <v>23</v>
      </c>
      <c r="B26" s="16">
        <v>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R26" s="15" t="e">
        <f t="shared" si="3"/>
        <v>#N/A</v>
      </c>
      <c r="S26" s="15" t="e">
        <f t="shared" si="4"/>
        <v>#N/A</v>
      </c>
      <c r="T26" s="15" t="e">
        <f t="shared" si="5"/>
        <v>#N/A</v>
      </c>
      <c r="U26" s="15" t="e">
        <f t="shared" si="16"/>
        <v>#N/A</v>
      </c>
      <c r="V26" s="15" t="e">
        <f t="shared" si="7"/>
        <v>#N/A</v>
      </c>
      <c r="W26" s="15" t="e">
        <f t="shared" si="8"/>
        <v>#N/A</v>
      </c>
      <c r="X26" s="15" t="e">
        <f t="shared" si="9"/>
        <v>#N/A</v>
      </c>
      <c r="Y26" s="15" t="e">
        <f t="shared" si="10"/>
        <v>#N/A</v>
      </c>
      <c r="Z26" s="15" t="e">
        <f t="shared" si="11"/>
        <v>#N/A</v>
      </c>
      <c r="AA26" s="15" t="e">
        <f t="shared" si="12"/>
        <v>#N/A</v>
      </c>
      <c r="AB26" s="15" t="e">
        <f t="shared" si="13"/>
        <v>#N/A</v>
      </c>
      <c r="AC26" s="15" t="e">
        <f t="shared" si="14"/>
        <v>#N/A</v>
      </c>
      <c r="AD26" s="15" t="e">
        <f t="shared" si="1"/>
        <v>#N/A</v>
      </c>
      <c r="AE26" s="15" t="e">
        <f t="shared" si="15"/>
        <v>#N/A</v>
      </c>
      <c r="AF26" s="15" t="e">
        <f t="shared" si="2"/>
        <v>#N/A</v>
      </c>
    </row>
    <row r="27" spans="1:32" x14ac:dyDescent="0.3">
      <c r="A27" s="16">
        <v>24</v>
      </c>
      <c r="B27" s="16">
        <v>1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R27" s="15" t="e">
        <f t="shared" si="3"/>
        <v>#N/A</v>
      </c>
      <c r="S27" s="15" t="e">
        <f t="shared" si="4"/>
        <v>#N/A</v>
      </c>
      <c r="T27" s="15" t="e">
        <f t="shared" si="5"/>
        <v>#N/A</v>
      </c>
      <c r="U27" s="15" t="e">
        <f t="shared" si="16"/>
        <v>#N/A</v>
      </c>
      <c r="V27" s="15" t="e">
        <f t="shared" si="7"/>
        <v>#N/A</v>
      </c>
      <c r="W27" s="15" t="e">
        <f t="shared" si="8"/>
        <v>#N/A</v>
      </c>
      <c r="X27" s="15" t="e">
        <f t="shared" si="9"/>
        <v>#N/A</v>
      </c>
      <c r="Y27" s="15" t="e">
        <f t="shared" si="10"/>
        <v>#N/A</v>
      </c>
      <c r="Z27" s="15" t="e">
        <f t="shared" si="11"/>
        <v>#N/A</v>
      </c>
      <c r="AA27" s="15" t="e">
        <f t="shared" si="12"/>
        <v>#N/A</v>
      </c>
      <c r="AB27" s="15" t="e">
        <f t="shared" si="13"/>
        <v>#N/A</v>
      </c>
      <c r="AC27" s="15" t="e">
        <f t="shared" si="14"/>
        <v>#N/A</v>
      </c>
      <c r="AD27" s="15" t="e">
        <f t="shared" si="1"/>
        <v>#N/A</v>
      </c>
      <c r="AE27" s="15" t="e">
        <f t="shared" si="15"/>
        <v>#N/A</v>
      </c>
      <c r="AF27" s="15" t="e">
        <f t="shared" si="2"/>
        <v>#N/A</v>
      </c>
    </row>
    <row r="28" spans="1:32" x14ac:dyDescent="0.3">
      <c r="A28" s="16">
        <v>25</v>
      </c>
      <c r="B28" s="16">
        <v>1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R28" s="15" t="e">
        <f t="shared" si="3"/>
        <v>#N/A</v>
      </c>
      <c r="S28" s="15" t="e">
        <f t="shared" si="4"/>
        <v>#N/A</v>
      </c>
      <c r="T28" s="15" t="e">
        <f t="shared" si="5"/>
        <v>#N/A</v>
      </c>
      <c r="U28" s="15" t="e">
        <f t="shared" si="16"/>
        <v>#N/A</v>
      </c>
      <c r="V28" s="15" t="e">
        <f t="shared" si="7"/>
        <v>#N/A</v>
      </c>
      <c r="W28" s="15" t="e">
        <f t="shared" si="8"/>
        <v>#N/A</v>
      </c>
      <c r="X28" s="15" t="e">
        <f t="shared" si="9"/>
        <v>#N/A</v>
      </c>
      <c r="Y28" s="15" t="e">
        <f t="shared" si="10"/>
        <v>#N/A</v>
      </c>
      <c r="Z28" s="15" t="e">
        <f t="shared" si="11"/>
        <v>#N/A</v>
      </c>
      <c r="AA28" s="15" t="e">
        <f t="shared" si="12"/>
        <v>#N/A</v>
      </c>
      <c r="AB28" s="15" t="e">
        <f t="shared" si="13"/>
        <v>#N/A</v>
      </c>
      <c r="AC28" s="15" t="e">
        <f t="shared" si="14"/>
        <v>#N/A</v>
      </c>
      <c r="AD28" s="15" t="e">
        <f t="shared" si="1"/>
        <v>#N/A</v>
      </c>
      <c r="AE28" s="15" t="e">
        <f t="shared" si="15"/>
        <v>#N/A</v>
      </c>
      <c r="AF28" s="15" t="e">
        <f t="shared" si="2"/>
        <v>#N/A</v>
      </c>
    </row>
    <row r="29" spans="1:32" x14ac:dyDescent="0.3">
      <c r="A29" s="16">
        <v>26</v>
      </c>
      <c r="B29" s="16">
        <v>1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R29" s="15" t="e">
        <f t="shared" si="3"/>
        <v>#N/A</v>
      </c>
      <c r="S29" s="15" t="e">
        <f t="shared" si="4"/>
        <v>#N/A</v>
      </c>
      <c r="T29" s="15" t="e">
        <f t="shared" si="5"/>
        <v>#N/A</v>
      </c>
      <c r="U29" s="15" t="e">
        <f t="shared" si="16"/>
        <v>#N/A</v>
      </c>
      <c r="V29" s="15" t="e">
        <f t="shared" si="7"/>
        <v>#N/A</v>
      </c>
      <c r="W29" s="15" t="e">
        <f t="shared" si="8"/>
        <v>#N/A</v>
      </c>
      <c r="X29" s="15" t="e">
        <f t="shared" si="9"/>
        <v>#N/A</v>
      </c>
      <c r="Y29" s="15" t="e">
        <f t="shared" si="10"/>
        <v>#N/A</v>
      </c>
      <c r="Z29" s="15" t="e">
        <f t="shared" si="11"/>
        <v>#N/A</v>
      </c>
      <c r="AA29" s="15" t="e">
        <f t="shared" si="12"/>
        <v>#N/A</v>
      </c>
      <c r="AB29" s="15" t="e">
        <f t="shared" si="13"/>
        <v>#N/A</v>
      </c>
      <c r="AC29" s="15" t="e">
        <f t="shared" si="14"/>
        <v>#N/A</v>
      </c>
      <c r="AD29" s="15" t="e">
        <f t="shared" si="1"/>
        <v>#N/A</v>
      </c>
      <c r="AE29" s="15" t="e">
        <f t="shared" si="15"/>
        <v>#N/A</v>
      </c>
      <c r="AF29" s="15" t="e">
        <f t="shared" si="2"/>
        <v>#N/A</v>
      </c>
    </row>
    <row r="30" spans="1:32" x14ac:dyDescent="0.3">
      <c r="A30" s="16">
        <v>27</v>
      </c>
      <c r="B30" s="16">
        <v>1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R30" s="15" t="e">
        <f t="shared" si="3"/>
        <v>#N/A</v>
      </c>
      <c r="S30" s="15" t="e">
        <f t="shared" si="4"/>
        <v>#N/A</v>
      </c>
      <c r="T30" s="15" t="e">
        <f t="shared" si="5"/>
        <v>#N/A</v>
      </c>
      <c r="U30" s="15" t="e">
        <f t="shared" si="16"/>
        <v>#N/A</v>
      </c>
      <c r="V30" s="15" t="e">
        <f t="shared" si="7"/>
        <v>#N/A</v>
      </c>
      <c r="W30" s="15" t="e">
        <f t="shared" si="8"/>
        <v>#N/A</v>
      </c>
      <c r="X30" s="15" t="e">
        <f t="shared" si="9"/>
        <v>#N/A</v>
      </c>
      <c r="Y30" s="15" t="e">
        <f t="shared" si="10"/>
        <v>#N/A</v>
      </c>
      <c r="Z30" s="15" t="e">
        <f t="shared" si="11"/>
        <v>#N/A</v>
      </c>
      <c r="AA30" s="15" t="e">
        <f t="shared" si="12"/>
        <v>#N/A</v>
      </c>
      <c r="AB30" s="15" t="e">
        <f t="shared" si="13"/>
        <v>#N/A</v>
      </c>
      <c r="AC30" s="15" t="e">
        <f t="shared" si="14"/>
        <v>#N/A</v>
      </c>
      <c r="AD30" s="15" t="e">
        <f t="shared" si="1"/>
        <v>#N/A</v>
      </c>
      <c r="AE30" s="15" t="e">
        <f t="shared" si="15"/>
        <v>#N/A</v>
      </c>
      <c r="AF30" s="15" t="e">
        <f t="shared" si="2"/>
        <v>#N/A</v>
      </c>
    </row>
    <row r="31" spans="1:32" x14ac:dyDescent="0.3">
      <c r="A31" s="16">
        <v>28</v>
      </c>
      <c r="B31" s="16">
        <v>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R31" s="15" t="e">
        <f t="shared" si="3"/>
        <v>#N/A</v>
      </c>
      <c r="S31" s="15" t="e">
        <f t="shared" si="4"/>
        <v>#N/A</v>
      </c>
      <c r="T31" s="15" t="e">
        <f t="shared" si="5"/>
        <v>#N/A</v>
      </c>
      <c r="U31" s="15" t="e">
        <f t="shared" si="16"/>
        <v>#N/A</v>
      </c>
      <c r="V31" s="15" t="e">
        <f t="shared" si="7"/>
        <v>#N/A</v>
      </c>
      <c r="W31" s="15" t="e">
        <f t="shared" si="8"/>
        <v>#N/A</v>
      </c>
      <c r="X31" s="15" t="e">
        <f t="shared" si="9"/>
        <v>#N/A</v>
      </c>
      <c r="Y31" s="15" t="e">
        <f t="shared" si="10"/>
        <v>#N/A</v>
      </c>
      <c r="Z31" s="15" t="e">
        <f t="shared" si="11"/>
        <v>#N/A</v>
      </c>
      <c r="AA31" s="15" t="e">
        <f t="shared" si="12"/>
        <v>#N/A</v>
      </c>
      <c r="AB31" s="15" t="e">
        <f t="shared" si="13"/>
        <v>#N/A</v>
      </c>
      <c r="AC31" s="15" t="e">
        <f t="shared" si="14"/>
        <v>#N/A</v>
      </c>
      <c r="AD31" s="15" t="e">
        <f t="shared" si="1"/>
        <v>#N/A</v>
      </c>
      <c r="AE31" s="15" t="e">
        <f t="shared" si="15"/>
        <v>#N/A</v>
      </c>
      <c r="AF31" s="15" t="e">
        <f t="shared" si="2"/>
        <v>#N/A</v>
      </c>
    </row>
    <row r="32" spans="1:32" x14ac:dyDescent="0.3">
      <c r="A32" s="16">
        <v>29</v>
      </c>
      <c r="B32" s="16">
        <v>1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R32" s="15" t="e">
        <f t="shared" si="3"/>
        <v>#N/A</v>
      </c>
      <c r="S32" s="15" t="e">
        <f t="shared" si="4"/>
        <v>#N/A</v>
      </c>
      <c r="T32" s="15" t="e">
        <f t="shared" si="5"/>
        <v>#N/A</v>
      </c>
      <c r="U32" s="15" t="e">
        <f t="shared" si="16"/>
        <v>#N/A</v>
      </c>
      <c r="V32" s="15" t="e">
        <f t="shared" si="7"/>
        <v>#N/A</v>
      </c>
      <c r="W32" s="15" t="e">
        <f t="shared" si="8"/>
        <v>#N/A</v>
      </c>
      <c r="X32" s="15" t="e">
        <f t="shared" si="9"/>
        <v>#N/A</v>
      </c>
      <c r="Y32" s="15" t="e">
        <f t="shared" si="10"/>
        <v>#N/A</v>
      </c>
      <c r="Z32" s="15" t="e">
        <f t="shared" si="11"/>
        <v>#N/A</v>
      </c>
      <c r="AA32" s="15" t="e">
        <f t="shared" si="12"/>
        <v>#N/A</v>
      </c>
      <c r="AB32" s="15" t="e">
        <f t="shared" si="13"/>
        <v>#N/A</v>
      </c>
      <c r="AC32" s="15" t="e">
        <f t="shared" si="14"/>
        <v>#N/A</v>
      </c>
      <c r="AD32" s="15" t="e">
        <f t="shared" si="1"/>
        <v>#N/A</v>
      </c>
      <c r="AE32" s="15" t="e">
        <f t="shared" si="15"/>
        <v>#N/A</v>
      </c>
      <c r="AF32" s="15" t="e">
        <f t="shared" si="2"/>
        <v>#N/A</v>
      </c>
    </row>
    <row r="33" spans="1:32" x14ac:dyDescent="0.3">
      <c r="A33" s="16">
        <v>30</v>
      </c>
      <c r="B33" s="16">
        <v>1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R33" s="15" t="e">
        <f t="shared" si="3"/>
        <v>#N/A</v>
      </c>
      <c r="S33" s="15" t="e">
        <f t="shared" si="4"/>
        <v>#N/A</v>
      </c>
      <c r="T33" s="15" t="e">
        <f t="shared" si="5"/>
        <v>#N/A</v>
      </c>
      <c r="U33" s="15" t="e">
        <f t="shared" si="16"/>
        <v>#N/A</v>
      </c>
      <c r="V33" s="15" t="e">
        <f t="shared" si="7"/>
        <v>#N/A</v>
      </c>
      <c r="W33" s="15" t="e">
        <f t="shared" si="8"/>
        <v>#N/A</v>
      </c>
      <c r="X33" s="15" t="e">
        <f t="shared" si="9"/>
        <v>#N/A</v>
      </c>
      <c r="Y33" s="15" t="e">
        <f t="shared" si="10"/>
        <v>#N/A</v>
      </c>
      <c r="Z33" s="15" t="e">
        <f t="shared" si="11"/>
        <v>#N/A</v>
      </c>
      <c r="AA33" s="15" t="e">
        <f t="shared" si="12"/>
        <v>#N/A</v>
      </c>
      <c r="AB33" s="15" t="e">
        <f t="shared" si="13"/>
        <v>#N/A</v>
      </c>
      <c r="AC33" s="15" t="e">
        <f t="shared" si="14"/>
        <v>#N/A</v>
      </c>
      <c r="AD33" s="15" t="e">
        <f t="shared" si="1"/>
        <v>#N/A</v>
      </c>
      <c r="AE33" s="15" t="e">
        <f t="shared" si="15"/>
        <v>#N/A</v>
      </c>
      <c r="AF33" s="15" t="e">
        <f t="shared" si="2"/>
        <v>#N/A</v>
      </c>
    </row>
    <row r="34" spans="1:32" x14ac:dyDescent="0.3">
      <c r="A34" s="16">
        <v>31</v>
      </c>
      <c r="B34" s="16">
        <v>1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R34" s="15" t="e">
        <f t="shared" si="3"/>
        <v>#N/A</v>
      </c>
      <c r="S34" s="15" t="e">
        <f t="shared" si="4"/>
        <v>#N/A</v>
      </c>
      <c r="T34" s="15" t="e">
        <f t="shared" si="5"/>
        <v>#N/A</v>
      </c>
      <c r="U34" s="15" t="e">
        <f t="shared" si="16"/>
        <v>#N/A</v>
      </c>
      <c r="V34" s="15" t="e">
        <f t="shared" si="7"/>
        <v>#N/A</v>
      </c>
      <c r="W34" s="15" t="e">
        <f t="shared" si="8"/>
        <v>#N/A</v>
      </c>
      <c r="X34" s="15" t="e">
        <f t="shared" si="9"/>
        <v>#N/A</v>
      </c>
      <c r="Y34" s="15" t="e">
        <f t="shared" si="10"/>
        <v>#N/A</v>
      </c>
      <c r="Z34" s="15" t="e">
        <f t="shared" si="11"/>
        <v>#N/A</v>
      </c>
      <c r="AA34" s="15" t="e">
        <f t="shared" si="12"/>
        <v>#N/A</v>
      </c>
      <c r="AB34" s="15" t="e">
        <f t="shared" si="13"/>
        <v>#N/A</v>
      </c>
      <c r="AC34" s="15" t="e">
        <f t="shared" si="14"/>
        <v>#N/A</v>
      </c>
      <c r="AD34" s="15" t="e">
        <f t="shared" si="1"/>
        <v>#N/A</v>
      </c>
      <c r="AE34" s="15" t="e">
        <f t="shared" si="15"/>
        <v>#N/A</v>
      </c>
      <c r="AF34" s="15" t="e">
        <f t="shared" si="2"/>
        <v>#N/A</v>
      </c>
    </row>
    <row r="35" spans="1:32" x14ac:dyDescent="0.3">
      <c r="A35" s="16">
        <v>32</v>
      </c>
      <c r="B35" s="16">
        <v>1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R35" s="15" t="e">
        <f t="shared" si="3"/>
        <v>#N/A</v>
      </c>
      <c r="S35" s="15" t="e">
        <f t="shared" si="4"/>
        <v>#N/A</v>
      </c>
      <c r="T35" s="15" t="e">
        <f t="shared" si="5"/>
        <v>#N/A</v>
      </c>
      <c r="U35" s="15" t="e">
        <f t="shared" si="16"/>
        <v>#N/A</v>
      </c>
      <c r="V35" s="15" t="e">
        <f t="shared" si="7"/>
        <v>#N/A</v>
      </c>
      <c r="W35" s="15" t="e">
        <f t="shared" si="8"/>
        <v>#N/A</v>
      </c>
      <c r="X35" s="15" t="e">
        <f t="shared" si="9"/>
        <v>#N/A</v>
      </c>
      <c r="Y35" s="15" t="e">
        <f t="shared" si="10"/>
        <v>#N/A</v>
      </c>
      <c r="Z35" s="15" t="e">
        <f t="shared" si="11"/>
        <v>#N/A</v>
      </c>
      <c r="AA35" s="15" t="e">
        <f t="shared" si="12"/>
        <v>#N/A</v>
      </c>
      <c r="AB35" s="15" t="e">
        <f t="shared" si="13"/>
        <v>#N/A</v>
      </c>
      <c r="AC35" s="15" t="e">
        <f t="shared" si="14"/>
        <v>#N/A</v>
      </c>
      <c r="AD35" s="15" t="e">
        <f t="shared" si="1"/>
        <v>#N/A</v>
      </c>
      <c r="AE35" s="15" t="e">
        <f t="shared" si="15"/>
        <v>#N/A</v>
      </c>
      <c r="AF35" s="15" t="e">
        <f t="shared" si="2"/>
        <v>#N/A</v>
      </c>
    </row>
    <row r="36" spans="1:32" x14ac:dyDescent="0.3">
      <c r="A36" s="16">
        <v>33</v>
      </c>
      <c r="B36" s="16">
        <v>1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R36" s="15" t="e">
        <f t="shared" si="3"/>
        <v>#N/A</v>
      </c>
      <c r="S36" s="15" t="e">
        <f t="shared" si="4"/>
        <v>#N/A</v>
      </c>
      <c r="T36" s="15" t="e">
        <f t="shared" si="5"/>
        <v>#N/A</v>
      </c>
      <c r="U36" s="15" t="e">
        <f t="shared" si="16"/>
        <v>#N/A</v>
      </c>
      <c r="V36" s="15" t="e">
        <f t="shared" si="7"/>
        <v>#N/A</v>
      </c>
      <c r="W36" s="15" t="e">
        <f t="shared" si="8"/>
        <v>#N/A</v>
      </c>
      <c r="X36" s="15" t="e">
        <f t="shared" si="9"/>
        <v>#N/A</v>
      </c>
      <c r="Y36" s="15" t="e">
        <f t="shared" si="10"/>
        <v>#N/A</v>
      </c>
      <c r="Z36" s="15" t="e">
        <f t="shared" si="11"/>
        <v>#N/A</v>
      </c>
      <c r="AA36" s="15" t="e">
        <f t="shared" si="12"/>
        <v>#N/A</v>
      </c>
      <c r="AB36" s="15" t="e">
        <f t="shared" si="13"/>
        <v>#N/A</v>
      </c>
      <c r="AC36" s="15" t="e">
        <f t="shared" si="14"/>
        <v>#N/A</v>
      </c>
      <c r="AD36" s="15" t="e">
        <f t="shared" ref="AD36:AD67" si="17">(M36+N36+O36)/B36</f>
        <v>#N/A</v>
      </c>
      <c r="AE36" s="15" t="e">
        <f t="shared" si="15"/>
        <v>#N/A</v>
      </c>
      <c r="AF36" s="15" t="e">
        <f t="shared" ref="AF36:AF67" si="18">P36/$B36</f>
        <v>#N/A</v>
      </c>
    </row>
    <row r="37" spans="1:32" x14ac:dyDescent="0.3">
      <c r="A37" s="16">
        <v>34</v>
      </c>
      <c r="B37" s="16">
        <v>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R37" s="15" t="e">
        <f t="shared" ref="R37:R68" si="19">D37/$B37</f>
        <v>#N/A</v>
      </c>
      <c r="S37" s="15" t="e">
        <f t="shared" ref="S37:S68" si="20">E37/$B37</f>
        <v>#N/A</v>
      </c>
      <c r="T37" s="15" t="e">
        <f t="shared" ref="T37:T68" si="21">F37/$B37</f>
        <v>#N/A</v>
      </c>
      <c r="U37" s="15" t="e">
        <f t="shared" si="16"/>
        <v>#N/A</v>
      </c>
      <c r="V37" s="15" t="e">
        <f t="shared" ref="V37:V68" si="22">H37/$B37</f>
        <v>#N/A</v>
      </c>
      <c r="W37" s="15" t="e">
        <f t="shared" ref="W37:W68" si="23">I37/$B37</f>
        <v>#N/A</v>
      </c>
      <c r="X37" s="15" t="e">
        <f t="shared" ref="X37:X68" si="24">J37/$B37</f>
        <v>#N/A</v>
      </c>
      <c r="Y37" s="15" t="e">
        <f t="shared" ref="Y37:Y68" si="25">K37/$B37</f>
        <v>#N/A</v>
      </c>
      <c r="Z37" s="15" t="e">
        <f t="shared" ref="Z37:Z68" si="26">L37/$B37</f>
        <v>#N/A</v>
      </c>
      <c r="AA37" s="15" t="e">
        <f t="shared" ref="AA37:AA68" si="27">M37/$B37</f>
        <v>#N/A</v>
      </c>
      <c r="AB37" s="15" t="e">
        <f t="shared" ref="AB37:AB68" si="28">N37/$B37</f>
        <v>#N/A</v>
      </c>
      <c r="AC37" s="15" t="e">
        <f t="shared" ref="AC37:AC68" si="29">O37/$B37</f>
        <v>#N/A</v>
      </c>
      <c r="AD37" s="15" t="e">
        <f t="shared" si="17"/>
        <v>#N/A</v>
      </c>
      <c r="AE37" s="15" t="e">
        <f t="shared" si="15"/>
        <v>#N/A</v>
      </c>
      <c r="AF37" s="15" t="e">
        <f t="shared" si="18"/>
        <v>#N/A</v>
      </c>
    </row>
    <row r="38" spans="1:32" x14ac:dyDescent="0.3">
      <c r="A38" s="16">
        <v>35</v>
      </c>
      <c r="B38" s="16">
        <v>1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R38" s="15" t="e">
        <f t="shared" si="19"/>
        <v>#N/A</v>
      </c>
      <c r="S38" s="15" t="e">
        <f t="shared" si="20"/>
        <v>#N/A</v>
      </c>
      <c r="T38" s="15" t="e">
        <f t="shared" si="21"/>
        <v>#N/A</v>
      </c>
      <c r="U38" s="15" t="e">
        <f t="shared" si="16"/>
        <v>#N/A</v>
      </c>
      <c r="V38" s="15" t="e">
        <f t="shared" si="22"/>
        <v>#N/A</v>
      </c>
      <c r="W38" s="15" t="e">
        <f t="shared" si="23"/>
        <v>#N/A</v>
      </c>
      <c r="X38" s="15" t="e">
        <f t="shared" si="24"/>
        <v>#N/A</v>
      </c>
      <c r="Y38" s="15" t="e">
        <f t="shared" si="25"/>
        <v>#N/A</v>
      </c>
      <c r="Z38" s="15" t="e">
        <f t="shared" si="26"/>
        <v>#N/A</v>
      </c>
      <c r="AA38" s="15" t="e">
        <f t="shared" si="27"/>
        <v>#N/A</v>
      </c>
      <c r="AB38" s="15" t="e">
        <f t="shared" si="28"/>
        <v>#N/A</v>
      </c>
      <c r="AC38" s="15" t="e">
        <f t="shared" si="29"/>
        <v>#N/A</v>
      </c>
      <c r="AD38" s="15" t="e">
        <f t="shared" si="17"/>
        <v>#N/A</v>
      </c>
      <c r="AE38" s="15" t="e">
        <f t="shared" si="15"/>
        <v>#N/A</v>
      </c>
      <c r="AF38" s="15" t="e">
        <f t="shared" si="18"/>
        <v>#N/A</v>
      </c>
    </row>
    <row r="39" spans="1:32" x14ac:dyDescent="0.3">
      <c r="A39" s="16">
        <v>36</v>
      </c>
      <c r="B39" s="16">
        <v>1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R39" s="15" t="e">
        <f t="shared" si="19"/>
        <v>#N/A</v>
      </c>
      <c r="S39" s="15" t="e">
        <f t="shared" si="20"/>
        <v>#N/A</v>
      </c>
      <c r="T39" s="15" t="e">
        <f t="shared" si="21"/>
        <v>#N/A</v>
      </c>
      <c r="U39" s="15" t="e">
        <f t="shared" si="16"/>
        <v>#N/A</v>
      </c>
      <c r="V39" s="15" t="e">
        <f t="shared" si="22"/>
        <v>#N/A</v>
      </c>
      <c r="W39" s="15" t="e">
        <f t="shared" si="23"/>
        <v>#N/A</v>
      </c>
      <c r="X39" s="15" t="e">
        <f t="shared" si="24"/>
        <v>#N/A</v>
      </c>
      <c r="Y39" s="15" t="e">
        <f t="shared" si="25"/>
        <v>#N/A</v>
      </c>
      <c r="Z39" s="15" t="e">
        <f t="shared" si="26"/>
        <v>#N/A</v>
      </c>
      <c r="AA39" s="15" t="e">
        <f t="shared" si="27"/>
        <v>#N/A</v>
      </c>
      <c r="AB39" s="15" t="e">
        <f t="shared" si="28"/>
        <v>#N/A</v>
      </c>
      <c r="AC39" s="15" t="e">
        <f t="shared" si="29"/>
        <v>#N/A</v>
      </c>
      <c r="AD39" s="15" t="e">
        <f t="shared" si="17"/>
        <v>#N/A</v>
      </c>
      <c r="AE39" s="15" t="e">
        <f t="shared" si="15"/>
        <v>#N/A</v>
      </c>
      <c r="AF39" s="15" t="e">
        <f t="shared" si="18"/>
        <v>#N/A</v>
      </c>
    </row>
    <row r="40" spans="1:32" x14ac:dyDescent="0.3">
      <c r="A40" s="16">
        <v>37</v>
      </c>
      <c r="B40" s="16">
        <v>1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R40" s="15" t="e">
        <f t="shared" si="19"/>
        <v>#N/A</v>
      </c>
      <c r="S40" s="15" t="e">
        <f t="shared" si="20"/>
        <v>#N/A</v>
      </c>
      <c r="T40" s="15" t="e">
        <f t="shared" si="21"/>
        <v>#N/A</v>
      </c>
      <c r="U40" s="15" t="e">
        <f t="shared" si="16"/>
        <v>#N/A</v>
      </c>
      <c r="V40" s="15" t="e">
        <f t="shared" si="22"/>
        <v>#N/A</v>
      </c>
      <c r="W40" s="15" t="e">
        <f t="shared" si="23"/>
        <v>#N/A</v>
      </c>
      <c r="X40" s="15" t="e">
        <f t="shared" si="24"/>
        <v>#N/A</v>
      </c>
      <c r="Y40" s="15" t="e">
        <f t="shared" si="25"/>
        <v>#N/A</v>
      </c>
      <c r="Z40" s="15" t="e">
        <f t="shared" si="26"/>
        <v>#N/A</v>
      </c>
      <c r="AA40" s="15" t="e">
        <f t="shared" si="27"/>
        <v>#N/A</v>
      </c>
      <c r="AB40" s="15" t="e">
        <f t="shared" si="28"/>
        <v>#N/A</v>
      </c>
      <c r="AC40" s="15" t="e">
        <f t="shared" si="29"/>
        <v>#N/A</v>
      </c>
      <c r="AD40" s="15" t="e">
        <f t="shared" si="17"/>
        <v>#N/A</v>
      </c>
      <c r="AE40" s="15" t="e">
        <f t="shared" si="15"/>
        <v>#N/A</v>
      </c>
      <c r="AF40" s="15" t="e">
        <f t="shared" si="18"/>
        <v>#N/A</v>
      </c>
    </row>
    <row r="41" spans="1:32" x14ac:dyDescent="0.3">
      <c r="A41" s="16">
        <v>38</v>
      </c>
      <c r="B41" s="16">
        <v>1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R41" s="15" t="e">
        <f t="shared" si="19"/>
        <v>#N/A</v>
      </c>
      <c r="S41" s="15" t="e">
        <f t="shared" si="20"/>
        <v>#N/A</v>
      </c>
      <c r="T41" s="15" t="e">
        <f t="shared" si="21"/>
        <v>#N/A</v>
      </c>
      <c r="U41" s="15" t="e">
        <f t="shared" si="16"/>
        <v>#N/A</v>
      </c>
      <c r="V41" s="15" t="e">
        <f t="shared" si="22"/>
        <v>#N/A</v>
      </c>
      <c r="W41" s="15" t="e">
        <f t="shared" si="23"/>
        <v>#N/A</v>
      </c>
      <c r="X41" s="15" t="e">
        <f t="shared" si="24"/>
        <v>#N/A</v>
      </c>
      <c r="Y41" s="15" t="e">
        <f t="shared" si="25"/>
        <v>#N/A</v>
      </c>
      <c r="Z41" s="15" t="e">
        <f t="shared" si="26"/>
        <v>#N/A</v>
      </c>
      <c r="AA41" s="15" t="e">
        <f t="shared" si="27"/>
        <v>#N/A</v>
      </c>
      <c r="AB41" s="15" t="e">
        <f t="shared" si="28"/>
        <v>#N/A</v>
      </c>
      <c r="AC41" s="15" t="e">
        <f t="shared" si="29"/>
        <v>#N/A</v>
      </c>
      <c r="AD41" s="15" t="e">
        <f t="shared" si="17"/>
        <v>#N/A</v>
      </c>
      <c r="AE41" s="15" t="e">
        <f t="shared" si="15"/>
        <v>#N/A</v>
      </c>
      <c r="AF41" s="15" t="e">
        <f t="shared" si="18"/>
        <v>#N/A</v>
      </c>
    </row>
    <row r="42" spans="1:32" x14ac:dyDescent="0.3">
      <c r="A42" s="16">
        <v>39</v>
      </c>
      <c r="B42" s="16">
        <v>1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R42" s="15" t="e">
        <f t="shared" si="19"/>
        <v>#N/A</v>
      </c>
      <c r="S42" s="15" t="e">
        <f t="shared" si="20"/>
        <v>#N/A</v>
      </c>
      <c r="T42" s="15" t="e">
        <f t="shared" si="21"/>
        <v>#N/A</v>
      </c>
      <c r="U42" s="15" t="e">
        <f t="shared" si="16"/>
        <v>#N/A</v>
      </c>
      <c r="V42" s="15" t="e">
        <f t="shared" si="22"/>
        <v>#N/A</v>
      </c>
      <c r="W42" s="15" t="e">
        <f t="shared" si="23"/>
        <v>#N/A</v>
      </c>
      <c r="X42" s="15" t="e">
        <f t="shared" si="24"/>
        <v>#N/A</v>
      </c>
      <c r="Y42" s="15" t="e">
        <f t="shared" si="25"/>
        <v>#N/A</v>
      </c>
      <c r="Z42" s="15" t="e">
        <f t="shared" si="26"/>
        <v>#N/A</v>
      </c>
      <c r="AA42" s="15" t="e">
        <f t="shared" si="27"/>
        <v>#N/A</v>
      </c>
      <c r="AB42" s="15" t="e">
        <f t="shared" si="28"/>
        <v>#N/A</v>
      </c>
      <c r="AC42" s="15" t="e">
        <f t="shared" si="29"/>
        <v>#N/A</v>
      </c>
      <c r="AD42" s="15" t="e">
        <f t="shared" si="17"/>
        <v>#N/A</v>
      </c>
      <c r="AE42" s="15" t="e">
        <f t="shared" si="15"/>
        <v>#N/A</v>
      </c>
      <c r="AF42" s="15" t="e">
        <f t="shared" si="18"/>
        <v>#N/A</v>
      </c>
    </row>
    <row r="43" spans="1:32" x14ac:dyDescent="0.3">
      <c r="A43" s="16">
        <v>40</v>
      </c>
      <c r="B43" s="16">
        <v>1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R43" s="15" t="e">
        <f t="shared" si="19"/>
        <v>#N/A</v>
      </c>
      <c r="S43" s="15" t="e">
        <f t="shared" si="20"/>
        <v>#N/A</v>
      </c>
      <c r="T43" s="15" t="e">
        <f t="shared" si="21"/>
        <v>#N/A</v>
      </c>
      <c r="U43" s="15" t="e">
        <f t="shared" si="16"/>
        <v>#N/A</v>
      </c>
      <c r="V43" s="15" t="e">
        <f t="shared" si="22"/>
        <v>#N/A</v>
      </c>
      <c r="W43" s="15" t="e">
        <f t="shared" si="23"/>
        <v>#N/A</v>
      </c>
      <c r="X43" s="15" t="e">
        <f t="shared" si="24"/>
        <v>#N/A</v>
      </c>
      <c r="Y43" s="15" t="e">
        <f t="shared" si="25"/>
        <v>#N/A</v>
      </c>
      <c r="Z43" s="15" t="e">
        <f t="shared" si="26"/>
        <v>#N/A</v>
      </c>
      <c r="AA43" s="15" t="e">
        <f t="shared" si="27"/>
        <v>#N/A</v>
      </c>
      <c r="AB43" s="15" t="e">
        <f t="shared" si="28"/>
        <v>#N/A</v>
      </c>
      <c r="AC43" s="15" t="e">
        <f t="shared" si="29"/>
        <v>#N/A</v>
      </c>
      <c r="AD43" s="15" t="e">
        <f t="shared" si="17"/>
        <v>#N/A</v>
      </c>
      <c r="AE43" s="15" t="e">
        <f t="shared" si="15"/>
        <v>#N/A</v>
      </c>
      <c r="AF43" s="15" t="e">
        <f t="shared" si="18"/>
        <v>#N/A</v>
      </c>
    </row>
    <row r="44" spans="1:32" x14ac:dyDescent="0.3">
      <c r="A44" s="16">
        <v>41</v>
      </c>
      <c r="B44" s="16">
        <v>1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R44" s="15" t="e">
        <f t="shared" si="19"/>
        <v>#N/A</v>
      </c>
      <c r="S44" s="15" t="e">
        <f t="shared" si="20"/>
        <v>#N/A</v>
      </c>
      <c r="T44" s="15" t="e">
        <f t="shared" si="21"/>
        <v>#N/A</v>
      </c>
      <c r="U44" s="15" t="e">
        <f t="shared" si="16"/>
        <v>#N/A</v>
      </c>
      <c r="V44" s="15" t="e">
        <f t="shared" si="22"/>
        <v>#N/A</v>
      </c>
      <c r="W44" s="15" t="e">
        <f t="shared" si="23"/>
        <v>#N/A</v>
      </c>
      <c r="X44" s="15" t="e">
        <f t="shared" si="24"/>
        <v>#N/A</v>
      </c>
      <c r="Y44" s="15" t="e">
        <f t="shared" si="25"/>
        <v>#N/A</v>
      </c>
      <c r="Z44" s="15" t="e">
        <f t="shared" si="26"/>
        <v>#N/A</v>
      </c>
      <c r="AA44" s="15" t="e">
        <f t="shared" si="27"/>
        <v>#N/A</v>
      </c>
      <c r="AB44" s="15" t="e">
        <f t="shared" si="28"/>
        <v>#N/A</v>
      </c>
      <c r="AC44" s="15" t="e">
        <f t="shared" si="29"/>
        <v>#N/A</v>
      </c>
      <c r="AD44" s="15" t="e">
        <f t="shared" si="17"/>
        <v>#N/A</v>
      </c>
      <c r="AE44" s="15" t="e">
        <f t="shared" si="15"/>
        <v>#N/A</v>
      </c>
      <c r="AF44" s="15" t="e">
        <f t="shared" si="18"/>
        <v>#N/A</v>
      </c>
    </row>
    <row r="45" spans="1:32" x14ac:dyDescent="0.3">
      <c r="A45" s="16">
        <v>42</v>
      </c>
      <c r="B45" s="16">
        <v>1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R45" s="15" t="e">
        <f t="shared" si="19"/>
        <v>#N/A</v>
      </c>
      <c r="S45" s="15" t="e">
        <f t="shared" si="20"/>
        <v>#N/A</v>
      </c>
      <c r="T45" s="15" t="e">
        <f t="shared" si="21"/>
        <v>#N/A</v>
      </c>
      <c r="U45" s="15" t="e">
        <f t="shared" si="16"/>
        <v>#N/A</v>
      </c>
      <c r="V45" s="15" t="e">
        <f t="shared" si="22"/>
        <v>#N/A</v>
      </c>
      <c r="W45" s="15" t="e">
        <f t="shared" si="23"/>
        <v>#N/A</v>
      </c>
      <c r="X45" s="15" t="e">
        <f t="shared" si="24"/>
        <v>#N/A</v>
      </c>
      <c r="Y45" s="15" t="e">
        <f t="shared" si="25"/>
        <v>#N/A</v>
      </c>
      <c r="Z45" s="15" t="e">
        <f t="shared" si="26"/>
        <v>#N/A</v>
      </c>
      <c r="AA45" s="15" t="e">
        <f t="shared" si="27"/>
        <v>#N/A</v>
      </c>
      <c r="AB45" s="15" t="e">
        <f t="shared" si="28"/>
        <v>#N/A</v>
      </c>
      <c r="AC45" s="15" t="e">
        <f t="shared" si="29"/>
        <v>#N/A</v>
      </c>
      <c r="AD45" s="15" t="e">
        <f t="shared" si="17"/>
        <v>#N/A</v>
      </c>
      <c r="AE45" s="15" t="e">
        <f t="shared" si="15"/>
        <v>#N/A</v>
      </c>
      <c r="AF45" s="15" t="e">
        <f t="shared" si="18"/>
        <v>#N/A</v>
      </c>
    </row>
    <row r="46" spans="1:32" x14ac:dyDescent="0.3">
      <c r="A46" s="16">
        <v>43</v>
      </c>
      <c r="B46" s="16">
        <v>1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R46" s="15" t="e">
        <f t="shared" si="19"/>
        <v>#N/A</v>
      </c>
      <c r="S46" s="15" t="e">
        <f t="shared" si="20"/>
        <v>#N/A</v>
      </c>
      <c r="T46" s="15" t="e">
        <f t="shared" si="21"/>
        <v>#N/A</v>
      </c>
      <c r="U46" s="15" t="e">
        <f t="shared" ref="U46:U76" si="30">G46/$B46</f>
        <v>#N/A</v>
      </c>
      <c r="V46" s="15" t="e">
        <f t="shared" si="22"/>
        <v>#N/A</v>
      </c>
      <c r="W46" s="15" t="e">
        <f t="shared" si="23"/>
        <v>#N/A</v>
      </c>
      <c r="X46" s="15" t="e">
        <f t="shared" si="24"/>
        <v>#N/A</v>
      </c>
      <c r="Y46" s="15" t="e">
        <f t="shared" si="25"/>
        <v>#N/A</v>
      </c>
      <c r="Z46" s="15" t="e">
        <f t="shared" si="26"/>
        <v>#N/A</v>
      </c>
      <c r="AA46" s="15" t="e">
        <f t="shared" si="27"/>
        <v>#N/A</v>
      </c>
      <c r="AB46" s="15" t="e">
        <f t="shared" si="28"/>
        <v>#N/A</v>
      </c>
      <c r="AC46" s="15" t="e">
        <f t="shared" si="29"/>
        <v>#N/A</v>
      </c>
      <c r="AD46" s="15" t="e">
        <f t="shared" si="17"/>
        <v>#N/A</v>
      </c>
      <c r="AE46" s="15" t="e">
        <f t="shared" si="15"/>
        <v>#N/A</v>
      </c>
      <c r="AF46" s="15" t="e">
        <f t="shared" si="18"/>
        <v>#N/A</v>
      </c>
    </row>
    <row r="47" spans="1:32" x14ac:dyDescent="0.3">
      <c r="A47" s="16">
        <v>44</v>
      </c>
      <c r="B47" s="16">
        <v>1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R47" s="15" t="e">
        <f t="shared" si="19"/>
        <v>#N/A</v>
      </c>
      <c r="S47" s="15" t="e">
        <f t="shared" si="20"/>
        <v>#N/A</v>
      </c>
      <c r="T47" s="15" t="e">
        <f t="shared" si="21"/>
        <v>#N/A</v>
      </c>
      <c r="U47" s="15" t="e">
        <f t="shared" si="30"/>
        <v>#N/A</v>
      </c>
      <c r="V47" s="15" t="e">
        <f t="shared" si="22"/>
        <v>#N/A</v>
      </c>
      <c r="W47" s="15" t="e">
        <f t="shared" si="23"/>
        <v>#N/A</v>
      </c>
      <c r="X47" s="15" t="e">
        <f t="shared" si="24"/>
        <v>#N/A</v>
      </c>
      <c r="Y47" s="15" t="e">
        <f t="shared" si="25"/>
        <v>#N/A</v>
      </c>
      <c r="Z47" s="15" t="e">
        <f t="shared" si="26"/>
        <v>#N/A</v>
      </c>
      <c r="AA47" s="15" t="e">
        <f t="shared" si="27"/>
        <v>#N/A</v>
      </c>
      <c r="AB47" s="15" t="e">
        <f t="shared" si="28"/>
        <v>#N/A</v>
      </c>
      <c r="AC47" s="15" t="e">
        <f t="shared" si="29"/>
        <v>#N/A</v>
      </c>
      <c r="AD47" s="15" t="e">
        <f t="shared" si="17"/>
        <v>#N/A</v>
      </c>
      <c r="AE47" s="15" t="e">
        <f t="shared" si="15"/>
        <v>#N/A</v>
      </c>
      <c r="AF47" s="15" t="e">
        <f t="shared" si="18"/>
        <v>#N/A</v>
      </c>
    </row>
    <row r="48" spans="1:32" x14ac:dyDescent="0.3">
      <c r="A48" s="16">
        <v>45</v>
      </c>
      <c r="B48" s="16">
        <v>1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R48" s="15" t="e">
        <f t="shared" si="19"/>
        <v>#N/A</v>
      </c>
      <c r="S48" s="15" t="e">
        <f t="shared" si="20"/>
        <v>#N/A</v>
      </c>
      <c r="T48" s="15" t="e">
        <f t="shared" si="21"/>
        <v>#N/A</v>
      </c>
      <c r="U48" s="15" t="e">
        <f t="shared" si="30"/>
        <v>#N/A</v>
      </c>
      <c r="V48" s="15" t="e">
        <f t="shared" si="22"/>
        <v>#N/A</v>
      </c>
      <c r="W48" s="15" t="e">
        <f t="shared" si="23"/>
        <v>#N/A</v>
      </c>
      <c r="X48" s="15" t="e">
        <f t="shared" si="24"/>
        <v>#N/A</v>
      </c>
      <c r="Y48" s="15" t="e">
        <f t="shared" si="25"/>
        <v>#N/A</v>
      </c>
      <c r="Z48" s="15" t="e">
        <f t="shared" si="26"/>
        <v>#N/A</v>
      </c>
      <c r="AA48" s="15" t="e">
        <f t="shared" si="27"/>
        <v>#N/A</v>
      </c>
      <c r="AB48" s="15" t="e">
        <f t="shared" si="28"/>
        <v>#N/A</v>
      </c>
      <c r="AC48" s="15" t="e">
        <f t="shared" si="29"/>
        <v>#N/A</v>
      </c>
      <c r="AD48" s="15" t="e">
        <f t="shared" si="17"/>
        <v>#N/A</v>
      </c>
      <c r="AE48" s="15" t="e">
        <f t="shared" si="15"/>
        <v>#N/A</v>
      </c>
      <c r="AF48" s="15" t="e">
        <f t="shared" si="18"/>
        <v>#N/A</v>
      </c>
    </row>
    <row r="49" spans="1:32" x14ac:dyDescent="0.3">
      <c r="A49" s="16">
        <v>46</v>
      </c>
      <c r="B49" s="16">
        <v>1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R49" s="15" t="e">
        <f t="shared" si="19"/>
        <v>#N/A</v>
      </c>
      <c r="S49" s="15" t="e">
        <f t="shared" si="20"/>
        <v>#N/A</v>
      </c>
      <c r="T49" s="15" t="e">
        <f t="shared" si="21"/>
        <v>#N/A</v>
      </c>
      <c r="U49" s="15" t="e">
        <f t="shared" si="30"/>
        <v>#N/A</v>
      </c>
      <c r="V49" s="15" t="e">
        <f t="shared" si="22"/>
        <v>#N/A</v>
      </c>
      <c r="W49" s="15" t="e">
        <f t="shared" si="23"/>
        <v>#N/A</v>
      </c>
      <c r="X49" s="15" t="e">
        <f t="shared" si="24"/>
        <v>#N/A</v>
      </c>
      <c r="Y49" s="15" t="e">
        <f t="shared" si="25"/>
        <v>#N/A</v>
      </c>
      <c r="Z49" s="15" t="e">
        <f t="shared" si="26"/>
        <v>#N/A</v>
      </c>
      <c r="AA49" s="15" t="e">
        <f t="shared" si="27"/>
        <v>#N/A</v>
      </c>
      <c r="AB49" s="15" t="e">
        <f t="shared" si="28"/>
        <v>#N/A</v>
      </c>
      <c r="AC49" s="15" t="e">
        <f t="shared" si="29"/>
        <v>#N/A</v>
      </c>
      <c r="AD49" s="15" t="e">
        <f t="shared" si="17"/>
        <v>#N/A</v>
      </c>
      <c r="AE49" s="15" t="e">
        <f t="shared" si="15"/>
        <v>#N/A</v>
      </c>
      <c r="AF49" s="15" t="e">
        <f t="shared" si="18"/>
        <v>#N/A</v>
      </c>
    </row>
    <row r="50" spans="1:32" x14ac:dyDescent="0.3">
      <c r="A50" s="16">
        <v>47</v>
      </c>
      <c r="B50" s="16">
        <v>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R50" s="15" t="e">
        <f t="shared" si="19"/>
        <v>#N/A</v>
      </c>
      <c r="S50" s="15" t="e">
        <f t="shared" si="20"/>
        <v>#N/A</v>
      </c>
      <c r="T50" s="15" t="e">
        <f t="shared" si="21"/>
        <v>#N/A</v>
      </c>
      <c r="U50" s="15" t="e">
        <f t="shared" si="30"/>
        <v>#N/A</v>
      </c>
      <c r="V50" s="15" t="e">
        <f t="shared" si="22"/>
        <v>#N/A</v>
      </c>
      <c r="W50" s="15" t="e">
        <f t="shared" si="23"/>
        <v>#N/A</v>
      </c>
      <c r="X50" s="15" t="e">
        <f t="shared" si="24"/>
        <v>#N/A</v>
      </c>
      <c r="Y50" s="15" t="e">
        <f t="shared" si="25"/>
        <v>#N/A</v>
      </c>
      <c r="Z50" s="15" t="e">
        <f t="shared" si="26"/>
        <v>#N/A</v>
      </c>
      <c r="AA50" s="15" t="e">
        <f t="shared" si="27"/>
        <v>#N/A</v>
      </c>
      <c r="AB50" s="15" t="e">
        <f t="shared" si="28"/>
        <v>#N/A</v>
      </c>
      <c r="AC50" s="15" t="e">
        <f t="shared" si="29"/>
        <v>#N/A</v>
      </c>
      <c r="AD50" s="15" t="e">
        <f t="shared" si="17"/>
        <v>#N/A</v>
      </c>
      <c r="AE50" s="15" t="e">
        <f t="shared" si="15"/>
        <v>#N/A</v>
      </c>
      <c r="AF50" s="15" t="e">
        <f t="shared" si="18"/>
        <v>#N/A</v>
      </c>
    </row>
    <row r="51" spans="1:32" x14ac:dyDescent="0.3">
      <c r="A51" s="16">
        <v>48</v>
      </c>
      <c r="B51" s="16">
        <v>1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R51" s="15" t="e">
        <f t="shared" si="19"/>
        <v>#N/A</v>
      </c>
      <c r="S51" s="15" t="e">
        <f t="shared" si="20"/>
        <v>#N/A</v>
      </c>
      <c r="T51" s="15" t="e">
        <f t="shared" si="21"/>
        <v>#N/A</v>
      </c>
      <c r="U51" s="15" t="e">
        <f t="shared" si="30"/>
        <v>#N/A</v>
      </c>
      <c r="V51" s="15" t="e">
        <f t="shared" si="22"/>
        <v>#N/A</v>
      </c>
      <c r="W51" s="15" t="e">
        <f t="shared" si="23"/>
        <v>#N/A</v>
      </c>
      <c r="X51" s="15" t="e">
        <f t="shared" si="24"/>
        <v>#N/A</v>
      </c>
      <c r="Y51" s="15" t="e">
        <f t="shared" si="25"/>
        <v>#N/A</v>
      </c>
      <c r="Z51" s="15" t="e">
        <f t="shared" si="26"/>
        <v>#N/A</v>
      </c>
      <c r="AA51" s="15" t="e">
        <f t="shared" si="27"/>
        <v>#N/A</v>
      </c>
      <c r="AB51" s="15" t="e">
        <f t="shared" si="28"/>
        <v>#N/A</v>
      </c>
      <c r="AC51" s="15" t="e">
        <f t="shared" si="29"/>
        <v>#N/A</v>
      </c>
      <c r="AD51" s="15" t="e">
        <f t="shared" si="17"/>
        <v>#N/A</v>
      </c>
      <c r="AE51" s="15" t="e">
        <f t="shared" si="15"/>
        <v>#N/A</v>
      </c>
      <c r="AF51" s="15" t="e">
        <f t="shared" si="18"/>
        <v>#N/A</v>
      </c>
    </row>
    <row r="52" spans="1:32" x14ac:dyDescent="0.3">
      <c r="A52" s="16">
        <v>49</v>
      </c>
      <c r="B52" s="16">
        <v>1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R52" s="15" t="e">
        <f t="shared" si="19"/>
        <v>#N/A</v>
      </c>
      <c r="S52" s="15" t="e">
        <f t="shared" si="20"/>
        <v>#N/A</v>
      </c>
      <c r="T52" s="15" t="e">
        <f t="shared" si="21"/>
        <v>#N/A</v>
      </c>
      <c r="U52" s="15" t="e">
        <f t="shared" si="30"/>
        <v>#N/A</v>
      </c>
      <c r="V52" s="15" t="e">
        <f t="shared" si="22"/>
        <v>#N/A</v>
      </c>
      <c r="W52" s="15" t="e">
        <f t="shared" si="23"/>
        <v>#N/A</v>
      </c>
      <c r="X52" s="15" t="e">
        <f t="shared" si="24"/>
        <v>#N/A</v>
      </c>
      <c r="Y52" s="15" t="e">
        <f t="shared" si="25"/>
        <v>#N/A</v>
      </c>
      <c r="Z52" s="15" t="e">
        <f t="shared" si="26"/>
        <v>#N/A</v>
      </c>
      <c r="AA52" s="15" t="e">
        <f t="shared" si="27"/>
        <v>#N/A</v>
      </c>
      <c r="AB52" s="15" t="e">
        <f t="shared" si="28"/>
        <v>#N/A</v>
      </c>
      <c r="AC52" s="15" t="e">
        <f t="shared" si="29"/>
        <v>#N/A</v>
      </c>
      <c r="AD52" s="15" t="e">
        <f t="shared" si="17"/>
        <v>#N/A</v>
      </c>
      <c r="AE52" s="15" t="e">
        <f t="shared" si="15"/>
        <v>#N/A</v>
      </c>
      <c r="AF52" s="15" t="e">
        <f t="shared" si="18"/>
        <v>#N/A</v>
      </c>
    </row>
    <row r="53" spans="1:32" x14ac:dyDescent="0.3">
      <c r="A53" s="16">
        <v>50</v>
      </c>
      <c r="B53" s="16">
        <v>1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R53" s="15" t="e">
        <f t="shared" si="19"/>
        <v>#N/A</v>
      </c>
      <c r="S53" s="15" t="e">
        <f t="shared" si="20"/>
        <v>#N/A</v>
      </c>
      <c r="T53" s="15" t="e">
        <f t="shared" si="21"/>
        <v>#N/A</v>
      </c>
      <c r="U53" s="15" t="e">
        <f t="shared" si="30"/>
        <v>#N/A</v>
      </c>
      <c r="V53" s="15" t="e">
        <f t="shared" si="22"/>
        <v>#N/A</v>
      </c>
      <c r="W53" s="15" t="e">
        <f t="shared" si="23"/>
        <v>#N/A</v>
      </c>
      <c r="X53" s="15" t="e">
        <f t="shared" si="24"/>
        <v>#N/A</v>
      </c>
      <c r="Y53" s="15" t="e">
        <f t="shared" si="25"/>
        <v>#N/A</v>
      </c>
      <c r="Z53" s="15" t="e">
        <f t="shared" si="26"/>
        <v>#N/A</v>
      </c>
      <c r="AA53" s="15" t="e">
        <f t="shared" si="27"/>
        <v>#N/A</v>
      </c>
      <c r="AB53" s="15" t="e">
        <f t="shared" si="28"/>
        <v>#N/A</v>
      </c>
      <c r="AC53" s="15" t="e">
        <f t="shared" si="29"/>
        <v>#N/A</v>
      </c>
      <c r="AD53" s="15" t="e">
        <f t="shared" si="17"/>
        <v>#N/A</v>
      </c>
      <c r="AE53" s="15" t="e">
        <f t="shared" si="15"/>
        <v>#N/A</v>
      </c>
      <c r="AF53" s="15" t="e">
        <f t="shared" si="18"/>
        <v>#N/A</v>
      </c>
    </row>
    <row r="54" spans="1:32" x14ac:dyDescent="0.3">
      <c r="A54" s="16">
        <v>51</v>
      </c>
      <c r="B54" s="16">
        <v>1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R54" s="15" t="e">
        <f t="shared" si="19"/>
        <v>#N/A</v>
      </c>
      <c r="S54" s="15" t="e">
        <f t="shared" si="20"/>
        <v>#N/A</v>
      </c>
      <c r="T54" s="15" t="e">
        <f t="shared" si="21"/>
        <v>#N/A</v>
      </c>
      <c r="U54" s="15" t="e">
        <f t="shared" si="30"/>
        <v>#N/A</v>
      </c>
      <c r="V54" s="15" t="e">
        <f t="shared" si="22"/>
        <v>#N/A</v>
      </c>
      <c r="W54" s="15" t="e">
        <f t="shared" si="23"/>
        <v>#N/A</v>
      </c>
      <c r="X54" s="15" t="e">
        <f t="shared" si="24"/>
        <v>#N/A</v>
      </c>
      <c r="Y54" s="15" t="e">
        <f t="shared" si="25"/>
        <v>#N/A</v>
      </c>
      <c r="Z54" s="15" t="e">
        <f t="shared" si="26"/>
        <v>#N/A</v>
      </c>
      <c r="AA54" s="15" t="e">
        <f t="shared" si="27"/>
        <v>#N/A</v>
      </c>
      <c r="AB54" s="15" t="e">
        <f t="shared" si="28"/>
        <v>#N/A</v>
      </c>
      <c r="AC54" s="15" t="e">
        <f t="shared" si="29"/>
        <v>#N/A</v>
      </c>
      <c r="AD54" s="15" t="e">
        <f t="shared" si="17"/>
        <v>#N/A</v>
      </c>
      <c r="AE54" s="15" t="e">
        <f t="shared" si="15"/>
        <v>#N/A</v>
      </c>
      <c r="AF54" s="15" t="e">
        <f t="shared" si="18"/>
        <v>#N/A</v>
      </c>
    </row>
    <row r="55" spans="1:32" x14ac:dyDescent="0.3">
      <c r="A55" s="16">
        <v>52</v>
      </c>
      <c r="B55" s="16">
        <v>1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R55" s="15" t="e">
        <f t="shared" si="19"/>
        <v>#N/A</v>
      </c>
      <c r="S55" s="15" t="e">
        <f t="shared" si="20"/>
        <v>#N/A</v>
      </c>
      <c r="T55" s="15" t="e">
        <f t="shared" si="21"/>
        <v>#N/A</v>
      </c>
      <c r="U55" s="15" t="e">
        <f t="shared" si="30"/>
        <v>#N/A</v>
      </c>
      <c r="V55" s="15" t="e">
        <f t="shared" si="22"/>
        <v>#N/A</v>
      </c>
      <c r="W55" s="15" t="e">
        <f t="shared" si="23"/>
        <v>#N/A</v>
      </c>
      <c r="X55" s="15" t="e">
        <f t="shared" si="24"/>
        <v>#N/A</v>
      </c>
      <c r="Y55" s="15" t="e">
        <f t="shared" si="25"/>
        <v>#N/A</v>
      </c>
      <c r="Z55" s="15" t="e">
        <f t="shared" si="26"/>
        <v>#N/A</v>
      </c>
      <c r="AA55" s="15" t="e">
        <f t="shared" si="27"/>
        <v>#N/A</v>
      </c>
      <c r="AB55" s="15" t="e">
        <f t="shared" si="28"/>
        <v>#N/A</v>
      </c>
      <c r="AC55" s="15" t="e">
        <f t="shared" si="29"/>
        <v>#N/A</v>
      </c>
      <c r="AD55" s="15" t="e">
        <f t="shared" si="17"/>
        <v>#N/A</v>
      </c>
      <c r="AE55" s="15" t="e">
        <f t="shared" si="15"/>
        <v>#N/A</v>
      </c>
      <c r="AF55" s="15" t="e">
        <f t="shared" si="18"/>
        <v>#N/A</v>
      </c>
    </row>
    <row r="56" spans="1:32" x14ac:dyDescent="0.3">
      <c r="A56" s="16">
        <v>53</v>
      </c>
      <c r="B56" s="16">
        <v>1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R56" s="15" t="e">
        <f t="shared" si="19"/>
        <v>#N/A</v>
      </c>
      <c r="S56" s="15" t="e">
        <f t="shared" si="20"/>
        <v>#N/A</v>
      </c>
      <c r="T56" s="15" t="e">
        <f t="shared" si="21"/>
        <v>#N/A</v>
      </c>
      <c r="U56" s="15" t="e">
        <f t="shared" si="30"/>
        <v>#N/A</v>
      </c>
      <c r="V56" s="15" t="e">
        <f t="shared" si="22"/>
        <v>#N/A</v>
      </c>
      <c r="W56" s="15" t="e">
        <f t="shared" si="23"/>
        <v>#N/A</v>
      </c>
      <c r="X56" s="15" t="e">
        <f t="shared" si="24"/>
        <v>#N/A</v>
      </c>
      <c r="Y56" s="15" t="e">
        <f t="shared" si="25"/>
        <v>#N/A</v>
      </c>
      <c r="Z56" s="15" t="e">
        <f t="shared" si="26"/>
        <v>#N/A</v>
      </c>
      <c r="AA56" s="15" t="e">
        <f t="shared" si="27"/>
        <v>#N/A</v>
      </c>
      <c r="AB56" s="15" t="e">
        <f t="shared" si="28"/>
        <v>#N/A</v>
      </c>
      <c r="AC56" s="15" t="e">
        <f t="shared" si="29"/>
        <v>#N/A</v>
      </c>
      <c r="AD56" s="15" t="e">
        <f t="shared" si="17"/>
        <v>#N/A</v>
      </c>
      <c r="AE56" s="15" t="e">
        <f t="shared" si="15"/>
        <v>#N/A</v>
      </c>
      <c r="AF56" s="15" t="e">
        <f t="shared" si="18"/>
        <v>#N/A</v>
      </c>
    </row>
    <row r="57" spans="1:32" x14ac:dyDescent="0.3">
      <c r="A57" s="16">
        <v>54</v>
      </c>
      <c r="B57" s="16">
        <v>1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R57" s="15" t="e">
        <f t="shared" si="19"/>
        <v>#N/A</v>
      </c>
      <c r="S57" s="15" t="e">
        <f t="shared" si="20"/>
        <v>#N/A</v>
      </c>
      <c r="T57" s="15" t="e">
        <f t="shared" si="21"/>
        <v>#N/A</v>
      </c>
      <c r="U57" s="15" t="e">
        <f t="shared" si="30"/>
        <v>#N/A</v>
      </c>
      <c r="V57" s="15" t="e">
        <f t="shared" si="22"/>
        <v>#N/A</v>
      </c>
      <c r="W57" s="15" t="e">
        <f t="shared" si="23"/>
        <v>#N/A</v>
      </c>
      <c r="X57" s="15" t="e">
        <f t="shared" si="24"/>
        <v>#N/A</v>
      </c>
      <c r="Y57" s="15" t="e">
        <f t="shared" si="25"/>
        <v>#N/A</v>
      </c>
      <c r="Z57" s="15" t="e">
        <f t="shared" si="26"/>
        <v>#N/A</v>
      </c>
      <c r="AA57" s="15" t="e">
        <f t="shared" si="27"/>
        <v>#N/A</v>
      </c>
      <c r="AB57" s="15" t="e">
        <f t="shared" si="28"/>
        <v>#N/A</v>
      </c>
      <c r="AC57" s="15" t="e">
        <f t="shared" si="29"/>
        <v>#N/A</v>
      </c>
      <c r="AD57" s="15" t="e">
        <f t="shared" si="17"/>
        <v>#N/A</v>
      </c>
      <c r="AE57" s="15" t="e">
        <f t="shared" si="15"/>
        <v>#N/A</v>
      </c>
      <c r="AF57" s="15" t="e">
        <f t="shared" si="18"/>
        <v>#N/A</v>
      </c>
    </row>
    <row r="58" spans="1:32" x14ac:dyDescent="0.3">
      <c r="A58" s="16">
        <v>55</v>
      </c>
      <c r="B58" s="16">
        <v>1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R58" s="15" t="e">
        <f t="shared" si="19"/>
        <v>#N/A</v>
      </c>
      <c r="S58" s="15" t="e">
        <f t="shared" si="20"/>
        <v>#N/A</v>
      </c>
      <c r="T58" s="15" t="e">
        <f t="shared" si="21"/>
        <v>#N/A</v>
      </c>
      <c r="U58" s="15" t="e">
        <f t="shared" si="30"/>
        <v>#N/A</v>
      </c>
      <c r="V58" s="15" t="e">
        <f t="shared" si="22"/>
        <v>#N/A</v>
      </c>
      <c r="W58" s="15" t="e">
        <f t="shared" si="23"/>
        <v>#N/A</v>
      </c>
      <c r="X58" s="15" t="e">
        <f t="shared" si="24"/>
        <v>#N/A</v>
      </c>
      <c r="Y58" s="15" t="e">
        <f t="shared" si="25"/>
        <v>#N/A</v>
      </c>
      <c r="Z58" s="15" t="e">
        <f t="shared" si="26"/>
        <v>#N/A</v>
      </c>
      <c r="AA58" s="15" t="e">
        <f t="shared" si="27"/>
        <v>#N/A</v>
      </c>
      <c r="AB58" s="15" t="e">
        <f t="shared" si="28"/>
        <v>#N/A</v>
      </c>
      <c r="AC58" s="15" t="e">
        <f t="shared" si="29"/>
        <v>#N/A</v>
      </c>
      <c r="AD58" s="15" t="e">
        <f t="shared" si="17"/>
        <v>#N/A</v>
      </c>
      <c r="AE58" s="15" t="e">
        <f t="shared" si="15"/>
        <v>#N/A</v>
      </c>
      <c r="AF58" s="15" t="e">
        <f t="shared" si="18"/>
        <v>#N/A</v>
      </c>
    </row>
    <row r="59" spans="1:32" x14ac:dyDescent="0.3">
      <c r="A59" s="16">
        <v>56</v>
      </c>
      <c r="B59" s="16">
        <v>1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R59" s="15" t="e">
        <f t="shared" si="19"/>
        <v>#N/A</v>
      </c>
      <c r="S59" s="15" t="e">
        <f t="shared" si="20"/>
        <v>#N/A</v>
      </c>
      <c r="T59" s="15" t="e">
        <f t="shared" si="21"/>
        <v>#N/A</v>
      </c>
      <c r="U59" s="15" t="e">
        <f t="shared" si="30"/>
        <v>#N/A</v>
      </c>
      <c r="V59" s="15" t="e">
        <f t="shared" si="22"/>
        <v>#N/A</v>
      </c>
      <c r="W59" s="15" t="e">
        <f t="shared" si="23"/>
        <v>#N/A</v>
      </c>
      <c r="X59" s="15" t="e">
        <f t="shared" si="24"/>
        <v>#N/A</v>
      </c>
      <c r="Y59" s="15" t="e">
        <f t="shared" si="25"/>
        <v>#N/A</v>
      </c>
      <c r="Z59" s="15" t="e">
        <f t="shared" si="26"/>
        <v>#N/A</v>
      </c>
      <c r="AA59" s="15" t="e">
        <f t="shared" si="27"/>
        <v>#N/A</v>
      </c>
      <c r="AB59" s="15" t="e">
        <f t="shared" si="28"/>
        <v>#N/A</v>
      </c>
      <c r="AC59" s="15" t="e">
        <f t="shared" si="29"/>
        <v>#N/A</v>
      </c>
      <c r="AD59" s="15" t="e">
        <f t="shared" si="17"/>
        <v>#N/A</v>
      </c>
      <c r="AE59" s="15" t="e">
        <f t="shared" si="15"/>
        <v>#N/A</v>
      </c>
      <c r="AF59" s="15" t="e">
        <f t="shared" si="18"/>
        <v>#N/A</v>
      </c>
    </row>
    <row r="60" spans="1:32" x14ac:dyDescent="0.3">
      <c r="A60" s="16">
        <v>57</v>
      </c>
      <c r="B60" s="16">
        <v>1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R60" s="15" t="e">
        <f t="shared" si="19"/>
        <v>#N/A</v>
      </c>
      <c r="S60" s="15" t="e">
        <f t="shared" si="20"/>
        <v>#N/A</v>
      </c>
      <c r="T60" s="15" t="e">
        <f t="shared" si="21"/>
        <v>#N/A</v>
      </c>
      <c r="U60" s="15" t="e">
        <f t="shared" si="30"/>
        <v>#N/A</v>
      </c>
      <c r="V60" s="15" t="e">
        <f t="shared" si="22"/>
        <v>#N/A</v>
      </c>
      <c r="W60" s="15" t="e">
        <f t="shared" si="23"/>
        <v>#N/A</v>
      </c>
      <c r="X60" s="15" t="e">
        <f t="shared" si="24"/>
        <v>#N/A</v>
      </c>
      <c r="Y60" s="15" t="e">
        <f t="shared" si="25"/>
        <v>#N/A</v>
      </c>
      <c r="Z60" s="15" t="e">
        <f t="shared" si="26"/>
        <v>#N/A</v>
      </c>
      <c r="AA60" s="15" t="e">
        <f t="shared" si="27"/>
        <v>#N/A</v>
      </c>
      <c r="AB60" s="15" t="e">
        <f t="shared" si="28"/>
        <v>#N/A</v>
      </c>
      <c r="AC60" s="15" t="e">
        <f t="shared" si="29"/>
        <v>#N/A</v>
      </c>
      <c r="AD60" s="15" t="e">
        <f t="shared" si="17"/>
        <v>#N/A</v>
      </c>
      <c r="AE60" s="15" t="e">
        <f t="shared" si="15"/>
        <v>#N/A</v>
      </c>
      <c r="AF60" s="15" t="e">
        <f t="shared" si="18"/>
        <v>#N/A</v>
      </c>
    </row>
    <row r="61" spans="1:32" x14ac:dyDescent="0.3">
      <c r="A61" s="16">
        <v>58</v>
      </c>
      <c r="B61" s="16">
        <v>1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R61" s="15" t="e">
        <f t="shared" si="19"/>
        <v>#N/A</v>
      </c>
      <c r="S61" s="15" t="e">
        <f t="shared" si="20"/>
        <v>#N/A</v>
      </c>
      <c r="T61" s="15" t="e">
        <f t="shared" si="21"/>
        <v>#N/A</v>
      </c>
      <c r="U61" s="15" t="e">
        <f t="shared" si="30"/>
        <v>#N/A</v>
      </c>
      <c r="V61" s="15" t="e">
        <f t="shared" si="22"/>
        <v>#N/A</v>
      </c>
      <c r="W61" s="15" t="e">
        <f t="shared" si="23"/>
        <v>#N/A</v>
      </c>
      <c r="X61" s="15" t="e">
        <f t="shared" si="24"/>
        <v>#N/A</v>
      </c>
      <c r="Y61" s="15" t="e">
        <f t="shared" si="25"/>
        <v>#N/A</v>
      </c>
      <c r="Z61" s="15" t="e">
        <f t="shared" si="26"/>
        <v>#N/A</v>
      </c>
      <c r="AA61" s="15" t="e">
        <f t="shared" si="27"/>
        <v>#N/A</v>
      </c>
      <c r="AB61" s="15" t="e">
        <f t="shared" si="28"/>
        <v>#N/A</v>
      </c>
      <c r="AC61" s="15" t="e">
        <f t="shared" si="29"/>
        <v>#N/A</v>
      </c>
      <c r="AD61" s="15" t="e">
        <f t="shared" si="17"/>
        <v>#N/A</v>
      </c>
      <c r="AE61" s="15" t="e">
        <f t="shared" si="15"/>
        <v>#N/A</v>
      </c>
      <c r="AF61" s="15" t="e">
        <f t="shared" si="18"/>
        <v>#N/A</v>
      </c>
    </row>
    <row r="62" spans="1:32" x14ac:dyDescent="0.3">
      <c r="A62" s="16">
        <v>59</v>
      </c>
      <c r="B62" s="16">
        <v>1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R62" s="15" t="e">
        <f t="shared" si="19"/>
        <v>#N/A</v>
      </c>
      <c r="S62" s="15" t="e">
        <f t="shared" si="20"/>
        <v>#N/A</v>
      </c>
      <c r="T62" s="15" t="e">
        <f t="shared" si="21"/>
        <v>#N/A</v>
      </c>
      <c r="U62" s="15" t="e">
        <f t="shared" si="30"/>
        <v>#N/A</v>
      </c>
      <c r="V62" s="15" t="e">
        <f t="shared" si="22"/>
        <v>#N/A</v>
      </c>
      <c r="W62" s="15" t="e">
        <f t="shared" si="23"/>
        <v>#N/A</v>
      </c>
      <c r="X62" s="15" t="e">
        <f t="shared" si="24"/>
        <v>#N/A</v>
      </c>
      <c r="Y62" s="15" t="e">
        <f t="shared" si="25"/>
        <v>#N/A</v>
      </c>
      <c r="Z62" s="15" t="e">
        <f t="shared" si="26"/>
        <v>#N/A</v>
      </c>
      <c r="AA62" s="15" t="e">
        <f t="shared" si="27"/>
        <v>#N/A</v>
      </c>
      <c r="AB62" s="15" t="e">
        <f t="shared" si="28"/>
        <v>#N/A</v>
      </c>
      <c r="AC62" s="15" t="e">
        <f t="shared" si="29"/>
        <v>#N/A</v>
      </c>
      <c r="AD62" s="15" t="e">
        <f t="shared" si="17"/>
        <v>#N/A</v>
      </c>
      <c r="AE62" s="15" t="e">
        <f t="shared" si="15"/>
        <v>#N/A</v>
      </c>
      <c r="AF62" s="15" t="e">
        <f t="shared" si="18"/>
        <v>#N/A</v>
      </c>
    </row>
    <row r="63" spans="1:32" x14ac:dyDescent="0.3">
      <c r="A63" s="16">
        <v>60</v>
      </c>
      <c r="B63" s="16">
        <v>1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R63" s="15" t="e">
        <f t="shared" si="19"/>
        <v>#N/A</v>
      </c>
      <c r="S63" s="15" t="e">
        <f t="shared" si="20"/>
        <v>#N/A</v>
      </c>
      <c r="T63" s="15" t="e">
        <f t="shared" si="21"/>
        <v>#N/A</v>
      </c>
      <c r="U63" s="15" t="e">
        <f t="shared" si="30"/>
        <v>#N/A</v>
      </c>
      <c r="V63" s="15" t="e">
        <f t="shared" si="22"/>
        <v>#N/A</v>
      </c>
      <c r="W63" s="15" t="e">
        <f t="shared" si="23"/>
        <v>#N/A</v>
      </c>
      <c r="X63" s="15" t="e">
        <f t="shared" si="24"/>
        <v>#N/A</v>
      </c>
      <c r="Y63" s="15" t="e">
        <f t="shared" si="25"/>
        <v>#N/A</v>
      </c>
      <c r="Z63" s="15" t="e">
        <f t="shared" si="26"/>
        <v>#N/A</v>
      </c>
      <c r="AA63" s="15" t="e">
        <f t="shared" si="27"/>
        <v>#N/A</v>
      </c>
      <c r="AB63" s="15" t="e">
        <f t="shared" si="28"/>
        <v>#N/A</v>
      </c>
      <c r="AC63" s="15" t="e">
        <f t="shared" si="29"/>
        <v>#N/A</v>
      </c>
      <c r="AD63" s="15" t="e">
        <f t="shared" si="17"/>
        <v>#N/A</v>
      </c>
      <c r="AE63" s="15" t="e">
        <f t="shared" si="15"/>
        <v>#N/A</v>
      </c>
      <c r="AF63" s="15" t="e">
        <f t="shared" si="18"/>
        <v>#N/A</v>
      </c>
    </row>
    <row r="64" spans="1:32" x14ac:dyDescent="0.3">
      <c r="A64" s="16">
        <v>61</v>
      </c>
      <c r="B64" s="16">
        <v>1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R64" s="15" t="e">
        <f t="shared" si="19"/>
        <v>#N/A</v>
      </c>
      <c r="S64" s="15" t="e">
        <f t="shared" si="20"/>
        <v>#N/A</v>
      </c>
      <c r="T64" s="15" t="e">
        <f t="shared" si="21"/>
        <v>#N/A</v>
      </c>
      <c r="U64" s="15" t="e">
        <f t="shared" si="30"/>
        <v>#N/A</v>
      </c>
      <c r="V64" s="15" t="e">
        <f t="shared" si="22"/>
        <v>#N/A</v>
      </c>
      <c r="W64" s="15" t="e">
        <f t="shared" si="23"/>
        <v>#N/A</v>
      </c>
      <c r="X64" s="15" t="e">
        <f t="shared" si="24"/>
        <v>#N/A</v>
      </c>
      <c r="Y64" s="15" t="e">
        <f t="shared" si="25"/>
        <v>#N/A</v>
      </c>
      <c r="Z64" s="15" t="e">
        <f t="shared" si="26"/>
        <v>#N/A</v>
      </c>
      <c r="AA64" s="15" t="e">
        <f t="shared" si="27"/>
        <v>#N/A</v>
      </c>
      <c r="AB64" s="15" t="e">
        <f t="shared" si="28"/>
        <v>#N/A</v>
      </c>
      <c r="AC64" s="15" t="e">
        <f t="shared" si="29"/>
        <v>#N/A</v>
      </c>
      <c r="AD64" s="15" t="e">
        <f t="shared" si="17"/>
        <v>#N/A</v>
      </c>
      <c r="AE64" s="15" t="e">
        <f t="shared" si="15"/>
        <v>#N/A</v>
      </c>
      <c r="AF64" s="15" t="e">
        <f t="shared" si="18"/>
        <v>#N/A</v>
      </c>
    </row>
    <row r="65" spans="1:32" x14ac:dyDescent="0.3">
      <c r="A65" s="16">
        <v>62</v>
      </c>
      <c r="B65" s="16">
        <v>1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R65" s="15" t="e">
        <f t="shared" si="19"/>
        <v>#N/A</v>
      </c>
      <c r="S65" s="15" t="e">
        <f t="shared" si="20"/>
        <v>#N/A</v>
      </c>
      <c r="T65" s="15" t="e">
        <f t="shared" si="21"/>
        <v>#N/A</v>
      </c>
      <c r="U65" s="15" t="e">
        <f t="shared" si="30"/>
        <v>#N/A</v>
      </c>
      <c r="V65" s="15" t="e">
        <f t="shared" si="22"/>
        <v>#N/A</v>
      </c>
      <c r="W65" s="15" t="e">
        <f t="shared" si="23"/>
        <v>#N/A</v>
      </c>
      <c r="X65" s="15" t="e">
        <f t="shared" si="24"/>
        <v>#N/A</v>
      </c>
      <c r="Y65" s="15" t="e">
        <f t="shared" si="25"/>
        <v>#N/A</v>
      </c>
      <c r="Z65" s="15" t="e">
        <f t="shared" si="26"/>
        <v>#N/A</v>
      </c>
      <c r="AA65" s="15" t="e">
        <f t="shared" si="27"/>
        <v>#N/A</v>
      </c>
      <c r="AB65" s="15" t="e">
        <f t="shared" si="28"/>
        <v>#N/A</v>
      </c>
      <c r="AC65" s="15" t="e">
        <f t="shared" si="29"/>
        <v>#N/A</v>
      </c>
      <c r="AD65" s="15" t="e">
        <f t="shared" si="17"/>
        <v>#N/A</v>
      </c>
      <c r="AE65" s="15" t="e">
        <f t="shared" si="15"/>
        <v>#N/A</v>
      </c>
      <c r="AF65" s="15" t="e">
        <f t="shared" si="18"/>
        <v>#N/A</v>
      </c>
    </row>
    <row r="66" spans="1:32" x14ac:dyDescent="0.3">
      <c r="A66" s="16">
        <v>63</v>
      </c>
      <c r="B66" s="16">
        <v>1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R66" s="15" t="e">
        <f t="shared" si="19"/>
        <v>#N/A</v>
      </c>
      <c r="S66" s="15" t="e">
        <f t="shared" si="20"/>
        <v>#N/A</v>
      </c>
      <c r="T66" s="15" t="e">
        <f t="shared" si="21"/>
        <v>#N/A</v>
      </c>
      <c r="U66" s="15" t="e">
        <f t="shared" si="30"/>
        <v>#N/A</v>
      </c>
      <c r="V66" s="15" t="e">
        <f t="shared" si="22"/>
        <v>#N/A</v>
      </c>
      <c r="W66" s="15" t="e">
        <f t="shared" si="23"/>
        <v>#N/A</v>
      </c>
      <c r="X66" s="15" t="e">
        <f t="shared" si="24"/>
        <v>#N/A</v>
      </c>
      <c r="Y66" s="15" t="e">
        <f t="shared" si="25"/>
        <v>#N/A</v>
      </c>
      <c r="Z66" s="15" t="e">
        <f t="shared" si="26"/>
        <v>#N/A</v>
      </c>
      <c r="AA66" s="15" t="e">
        <f t="shared" si="27"/>
        <v>#N/A</v>
      </c>
      <c r="AB66" s="15" t="e">
        <f t="shared" si="28"/>
        <v>#N/A</v>
      </c>
      <c r="AC66" s="15" t="e">
        <f t="shared" si="29"/>
        <v>#N/A</v>
      </c>
      <c r="AD66" s="15" t="e">
        <f t="shared" si="17"/>
        <v>#N/A</v>
      </c>
      <c r="AE66" s="15" t="e">
        <f t="shared" si="15"/>
        <v>#N/A</v>
      </c>
      <c r="AF66" s="15" t="e">
        <f t="shared" si="18"/>
        <v>#N/A</v>
      </c>
    </row>
    <row r="67" spans="1:32" x14ac:dyDescent="0.3">
      <c r="A67" s="16">
        <v>64</v>
      </c>
      <c r="B67" s="16">
        <v>1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R67" s="15" t="e">
        <f t="shared" si="19"/>
        <v>#N/A</v>
      </c>
      <c r="S67" s="15" t="e">
        <f t="shared" si="20"/>
        <v>#N/A</v>
      </c>
      <c r="T67" s="15" t="e">
        <f t="shared" si="21"/>
        <v>#N/A</v>
      </c>
      <c r="U67" s="15" t="e">
        <f t="shared" si="30"/>
        <v>#N/A</v>
      </c>
      <c r="V67" s="15" t="e">
        <f t="shared" si="22"/>
        <v>#N/A</v>
      </c>
      <c r="W67" s="15" t="e">
        <f t="shared" si="23"/>
        <v>#N/A</v>
      </c>
      <c r="X67" s="15" t="e">
        <f t="shared" si="24"/>
        <v>#N/A</v>
      </c>
      <c r="Y67" s="15" t="e">
        <f t="shared" si="25"/>
        <v>#N/A</v>
      </c>
      <c r="Z67" s="15" t="e">
        <f t="shared" si="26"/>
        <v>#N/A</v>
      </c>
      <c r="AA67" s="15" t="e">
        <f t="shared" si="27"/>
        <v>#N/A</v>
      </c>
      <c r="AB67" s="15" t="e">
        <f t="shared" si="28"/>
        <v>#N/A</v>
      </c>
      <c r="AC67" s="15" t="e">
        <f t="shared" si="29"/>
        <v>#N/A</v>
      </c>
      <c r="AD67" s="15" t="e">
        <f t="shared" si="17"/>
        <v>#N/A</v>
      </c>
      <c r="AE67" s="15" t="e">
        <f t="shared" si="15"/>
        <v>#N/A</v>
      </c>
      <c r="AF67" s="15" t="e">
        <f t="shared" si="18"/>
        <v>#N/A</v>
      </c>
    </row>
    <row r="68" spans="1:32" x14ac:dyDescent="0.3">
      <c r="A68" s="16">
        <v>65</v>
      </c>
      <c r="B68" s="16">
        <v>1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R68" s="15" t="e">
        <f t="shared" si="19"/>
        <v>#N/A</v>
      </c>
      <c r="S68" s="15" t="e">
        <f t="shared" si="20"/>
        <v>#N/A</v>
      </c>
      <c r="T68" s="15" t="e">
        <f t="shared" si="21"/>
        <v>#N/A</v>
      </c>
      <c r="U68" s="15" t="e">
        <f t="shared" si="30"/>
        <v>#N/A</v>
      </c>
      <c r="V68" s="15" t="e">
        <f t="shared" si="22"/>
        <v>#N/A</v>
      </c>
      <c r="W68" s="15" t="e">
        <f t="shared" si="23"/>
        <v>#N/A</v>
      </c>
      <c r="X68" s="15" t="e">
        <f t="shared" si="24"/>
        <v>#N/A</v>
      </c>
      <c r="Y68" s="15" t="e">
        <f t="shared" si="25"/>
        <v>#N/A</v>
      </c>
      <c r="Z68" s="15" t="e">
        <f t="shared" si="26"/>
        <v>#N/A</v>
      </c>
      <c r="AA68" s="15" t="e">
        <f t="shared" si="27"/>
        <v>#N/A</v>
      </c>
      <c r="AB68" s="15" t="e">
        <f t="shared" si="28"/>
        <v>#N/A</v>
      </c>
      <c r="AC68" s="15" t="e">
        <f t="shared" si="29"/>
        <v>#N/A</v>
      </c>
      <c r="AD68" s="15" t="e">
        <f t="shared" ref="AD68:AD76" si="31">(M68+N68+O68)/B68</f>
        <v>#N/A</v>
      </c>
      <c r="AE68" s="15" t="e">
        <f t="shared" si="15"/>
        <v>#N/A</v>
      </c>
      <c r="AF68" s="15" t="e">
        <f t="shared" ref="AF68:AF76" si="32">P68/$B68</f>
        <v>#N/A</v>
      </c>
    </row>
    <row r="69" spans="1:32" x14ac:dyDescent="0.3">
      <c r="A69" s="16">
        <v>66</v>
      </c>
      <c r="B69" s="16">
        <v>1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R69" s="15" t="e">
        <f t="shared" ref="R69:R76" si="33">D69/$B69</f>
        <v>#N/A</v>
      </c>
      <c r="S69" s="15" t="e">
        <f t="shared" ref="S69:S76" si="34">E69/$B69</f>
        <v>#N/A</v>
      </c>
      <c r="T69" s="15" t="e">
        <f t="shared" ref="T69:T76" si="35">F69/$B69</f>
        <v>#N/A</v>
      </c>
      <c r="U69" s="15" t="e">
        <f t="shared" si="30"/>
        <v>#N/A</v>
      </c>
      <c r="V69" s="15" t="e">
        <f t="shared" ref="V69:V76" si="36">H69/$B69</f>
        <v>#N/A</v>
      </c>
      <c r="W69" s="15" t="e">
        <f t="shared" ref="W69:W76" si="37">I69/$B69</f>
        <v>#N/A</v>
      </c>
      <c r="X69" s="15" t="e">
        <f t="shared" ref="X69:X76" si="38">J69/$B69</f>
        <v>#N/A</v>
      </c>
      <c r="Y69" s="15" t="e">
        <f t="shared" ref="Y69:Y76" si="39">K69/$B69</f>
        <v>#N/A</v>
      </c>
      <c r="Z69" s="15" t="e">
        <f t="shared" ref="Z69:Z76" si="40">L69/$B69</f>
        <v>#N/A</v>
      </c>
      <c r="AA69" s="15" t="e">
        <f t="shared" ref="AA69:AA76" si="41">M69/$B69</f>
        <v>#N/A</v>
      </c>
      <c r="AB69" s="15" t="e">
        <f t="shared" ref="AB69:AB76" si="42">N69/$B69</f>
        <v>#N/A</v>
      </c>
      <c r="AC69" s="15" t="e">
        <f t="shared" ref="AC69:AC76" si="43">O69/$B69</f>
        <v>#N/A</v>
      </c>
      <c r="AD69" s="15" t="e">
        <f t="shared" si="31"/>
        <v>#N/A</v>
      </c>
      <c r="AE69" s="15" t="e">
        <f t="shared" ref="AE69:AE76" si="44">(F69+I69+J69+K69+L69+M69+N69+O69)/$B69</f>
        <v>#N/A</v>
      </c>
      <c r="AF69" s="15" t="e">
        <f t="shared" si="32"/>
        <v>#N/A</v>
      </c>
    </row>
    <row r="70" spans="1:32" x14ac:dyDescent="0.3">
      <c r="A70" s="16">
        <v>67</v>
      </c>
      <c r="B70" s="16">
        <v>1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R70" s="15" t="e">
        <f t="shared" si="33"/>
        <v>#N/A</v>
      </c>
      <c r="S70" s="15" t="e">
        <f t="shared" si="34"/>
        <v>#N/A</v>
      </c>
      <c r="T70" s="15" t="e">
        <f t="shared" si="35"/>
        <v>#N/A</v>
      </c>
      <c r="U70" s="15" t="e">
        <f t="shared" si="30"/>
        <v>#N/A</v>
      </c>
      <c r="V70" s="15" t="e">
        <f t="shared" si="36"/>
        <v>#N/A</v>
      </c>
      <c r="W70" s="15" t="e">
        <f t="shared" si="37"/>
        <v>#N/A</v>
      </c>
      <c r="X70" s="15" t="e">
        <f t="shared" si="38"/>
        <v>#N/A</v>
      </c>
      <c r="Y70" s="15" t="e">
        <f t="shared" si="39"/>
        <v>#N/A</v>
      </c>
      <c r="Z70" s="15" t="e">
        <f t="shared" si="40"/>
        <v>#N/A</v>
      </c>
      <c r="AA70" s="15" t="e">
        <f t="shared" si="41"/>
        <v>#N/A</v>
      </c>
      <c r="AB70" s="15" t="e">
        <f t="shared" si="42"/>
        <v>#N/A</v>
      </c>
      <c r="AC70" s="15" t="e">
        <f t="shared" si="43"/>
        <v>#N/A</v>
      </c>
      <c r="AD70" s="15" t="e">
        <f t="shared" si="31"/>
        <v>#N/A</v>
      </c>
      <c r="AE70" s="15" t="e">
        <f t="shared" si="44"/>
        <v>#N/A</v>
      </c>
      <c r="AF70" s="15" t="e">
        <f t="shared" si="32"/>
        <v>#N/A</v>
      </c>
    </row>
    <row r="71" spans="1:32" x14ac:dyDescent="0.3">
      <c r="A71" s="16">
        <v>68</v>
      </c>
      <c r="B71" s="16">
        <v>1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R71" s="15" t="e">
        <f t="shared" si="33"/>
        <v>#N/A</v>
      </c>
      <c r="S71" s="15" t="e">
        <f t="shared" si="34"/>
        <v>#N/A</v>
      </c>
      <c r="T71" s="15" t="e">
        <f t="shared" si="35"/>
        <v>#N/A</v>
      </c>
      <c r="U71" s="15" t="e">
        <f t="shared" si="30"/>
        <v>#N/A</v>
      </c>
      <c r="V71" s="15" t="e">
        <f t="shared" si="36"/>
        <v>#N/A</v>
      </c>
      <c r="W71" s="15" t="e">
        <f t="shared" si="37"/>
        <v>#N/A</v>
      </c>
      <c r="X71" s="15" t="e">
        <f t="shared" si="38"/>
        <v>#N/A</v>
      </c>
      <c r="Y71" s="15" t="e">
        <f t="shared" si="39"/>
        <v>#N/A</v>
      </c>
      <c r="Z71" s="15" t="e">
        <f t="shared" si="40"/>
        <v>#N/A</v>
      </c>
      <c r="AA71" s="15" t="e">
        <f t="shared" si="41"/>
        <v>#N/A</v>
      </c>
      <c r="AB71" s="15" t="e">
        <f t="shared" si="42"/>
        <v>#N/A</v>
      </c>
      <c r="AC71" s="15" t="e">
        <f t="shared" si="43"/>
        <v>#N/A</v>
      </c>
      <c r="AD71" s="15" t="e">
        <f t="shared" si="31"/>
        <v>#N/A</v>
      </c>
      <c r="AE71" s="15" t="e">
        <f t="shared" si="44"/>
        <v>#N/A</v>
      </c>
      <c r="AF71" s="15" t="e">
        <f t="shared" si="32"/>
        <v>#N/A</v>
      </c>
    </row>
    <row r="72" spans="1:32" x14ac:dyDescent="0.3">
      <c r="A72" s="16">
        <v>69</v>
      </c>
      <c r="B72" s="16">
        <v>1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R72" s="15" t="e">
        <f t="shared" si="33"/>
        <v>#N/A</v>
      </c>
      <c r="S72" s="15" t="e">
        <f t="shared" si="34"/>
        <v>#N/A</v>
      </c>
      <c r="T72" s="15" t="e">
        <f t="shared" si="35"/>
        <v>#N/A</v>
      </c>
      <c r="U72" s="15" t="e">
        <f t="shared" si="30"/>
        <v>#N/A</v>
      </c>
      <c r="V72" s="15" t="e">
        <f t="shared" si="36"/>
        <v>#N/A</v>
      </c>
      <c r="W72" s="15" t="e">
        <f t="shared" si="37"/>
        <v>#N/A</v>
      </c>
      <c r="X72" s="15" t="e">
        <f t="shared" si="38"/>
        <v>#N/A</v>
      </c>
      <c r="Y72" s="15" t="e">
        <f t="shared" si="39"/>
        <v>#N/A</v>
      </c>
      <c r="Z72" s="15" t="e">
        <f t="shared" si="40"/>
        <v>#N/A</v>
      </c>
      <c r="AA72" s="15" t="e">
        <f t="shared" si="41"/>
        <v>#N/A</v>
      </c>
      <c r="AB72" s="15" t="e">
        <f t="shared" si="42"/>
        <v>#N/A</v>
      </c>
      <c r="AC72" s="15" t="e">
        <f t="shared" si="43"/>
        <v>#N/A</v>
      </c>
      <c r="AD72" s="15" t="e">
        <f t="shared" si="31"/>
        <v>#N/A</v>
      </c>
      <c r="AE72" s="15" t="e">
        <f t="shared" si="44"/>
        <v>#N/A</v>
      </c>
      <c r="AF72" s="15" t="e">
        <f t="shared" si="32"/>
        <v>#N/A</v>
      </c>
    </row>
    <row r="73" spans="1:32" x14ac:dyDescent="0.3">
      <c r="A73" s="16">
        <v>70</v>
      </c>
      <c r="B73" s="16">
        <v>1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R73" s="15" t="e">
        <f t="shared" si="33"/>
        <v>#N/A</v>
      </c>
      <c r="S73" s="15" t="e">
        <f t="shared" si="34"/>
        <v>#N/A</v>
      </c>
      <c r="T73" s="15" t="e">
        <f t="shared" si="35"/>
        <v>#N/A</v>
      </c>
      <c r="U73" s="15" t="e">
        <f t="shared" si="30"/>
        <v>#N/A</v>
      </c>
      <c r="V73" s="15" t="e">
        <f t="shared" si="36"/>
        <v>#N/A</v>
      </c>
      <c r="W73" s="15" t="e">
        <f t="shared" si="37"/>
        <v>#N/A</v>
      </c>
      <c r="X73" s="15" t="e">
        <f t="shared" si="38"/>
        <v>#N/A</v>
      </c>
      <c r="Y73" s="15" t="e">
        <f t="shared" si="39"/>
        <v>#N/A</v>
      </c>
      <c r="Z73" s="15" t="e">
        <f t="shared" si="40"/>
        <v>#N/A</v>
      </c>
      <c r="AA73" s="15" t="e">
        <f t="shared" si="41"/>
        <v>#N/A</v>
      </c>
      <c r="AB73" s="15" t="e">
        <f t="shared" si="42"/>
        <v>#N/A</v>
      </c>
      <c r="AC73" s="15" t="e">
        <f t="shared" si="43"/>
        <v>#N/A</v>
      </c>
      <c r="AD73" s="15" t="e">
        <f t="shared" si="31"/>
        <v>#N/A</v>
      </c>
      <c r="AE73" s="15" t="e">
        <f t="shared" si="44"/>
        <v>#N/A</v>
      </c>
      <c r="AF73" s="15" t="e">
        <f t="shared" si="32"/>
        <v>#N/A</v>
      </c>
    </row>
    <row r="74" spans="1:32" x14ac:dyDescent="0.3">
      <c r="A74" s="16">
        <v>71</v>
      </c>
      <c r="B74" s="16">
        <v>1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R74" s="15" t="e">
        <f t="shared" si="33"/>
        <v>#N/A</v>
      </c>
      <c r="S74" s="15" t="e">
        <f t="shared" si="34"/>
        <v>#N/A</v>
      </c>
      <c r="T74" s="15" t="e">
        <f t="shared" si="35"/>
        <v>#N/A</v>
      </c>
      <c r="U74" s="15" t="e">
        <f t="shared" si="30"/>
        <v>#N/A</v>
      </c>
      <c r="V74" s="15" t="e">
        <f t="shared" si="36"/>
        <v>#N/A</v>
      </c>
      <c r="W74" s="15" t="e">
        <f t="shared" si="37"/>
        <v>#N/A</v>
      </c>
      <c r="X74" s="15" t="e">
        <f t="shared" si="38"/>
        <v>#N/A</v>
      </c>
      <c r="Y74" s="15" t="e">
        <f t="shared" si="39"/>
        <v>#N/A</v>
      </c>
      <c r="Z74" s="15" t="e">
        <f t="shared" si="40"/>
        <v>#N/A</v>
      </c>
      <c r="AA74" s="15" t="e">
        <f t="shared" si="41"/>
        <v>#N/A</v>
      </c>
      <c r="AB74" s="15" t="e">
        <f t="shared" si="42"/>
        <v>#N/A</v>
      </c>
      <c r="AC74" s="15" t="e">
        <f t="shared" si="43"/>
        <v>#N/A</v>
      </c>
      <c r="AD74" s="15" t="e">
        <f t="shared" si="31"/>
        <v>#N/A</v>
      </c>
      <c r="AE74" s="15" t="e">
        <f t="shared" si="44"/>
        <v>#N/A</v>
      </c>
      <c r="AF74" s="15" t="e">
        <f t="shared" si="32"/>
        <v>#N/A</v>
      </c>
    </row>
    <row r="75" spans="1:32" x14ac:dyDescent="0.3">
      <c r="A75" s="16">
        <v>72</v>
      </c>
      <c r="B75" s="16">
        <v>1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R75" s="15" t="e">
        <f t="shared" si="33"/>
        <v>#N/A</v>
      </c>
      <c r="S75" s="15" t="e">
        <f t="shared" si="34"/>
        <v>#N/A</v>
      </c>
      <c r="T75" s="15" t="e">
        <f t="shared" si="35"/>
        <v>#N/A</v>
      </c>
      <c r="U75" s="15" t="e">
        <f t="shared" si="30"/>
        <v>#N/A</v>
      </c>
      <c r="V75" s="15" t="e">
        <f t="shared" si="36"/>
        <v>#N/A</v>
      </c>
      <c r="W75" s="15" t="e">
        <f t="shared" si="37"/>
        <v>#N/A</v>
      </c>
      <c r="X75" s="15" t="e">
        <f t="shared" si="38"/>
        <v>#N/A</v>
      </c>
      <c r="Y75" s="15" t="e">
        <f t="shared" si="39"/>
        <v>#N/A</v>
      </c>
      <c r="Z75" s="15" t="e">
        <f t="shared" si="40"/>
        <v>#N/A</v>
      </c>
      <c r="AA75" s="15" t="e">
        <f t="shared" si="41"/>
        <v>#N/A</v>
      </c>
      <c r="AB75" s="15" t="e">
        <f t="shared" si="42"/>
        <v>#N/A</v>
      </c>
      <c r="AC75" s="15" t="e">
        <f t="shared" si="43"/>
        <v>#N/A</v>
      </c>
      <c r="AD75" s="15" t="e">
        <f t="shared" si="31"/>
        <v>#N/A</v>
      </c>
      <c r="AE75" s="15" t="e">
        <f t="shared" si="44"/>
        <v>#N/A</v>
      </c>
      <c r="AF75" s="15" t="e">
        <f t="shared" si="32"/>
        <v>#N/A</v>
      </c>
    </row>
    <row r="76" spans="1:32" x14ac:dyDescent="0.3">
      <c r="A76" s="16">
        <v>73</v>
      </c>
      <c r="B76" s="16">
        <v>1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R76" s="15" t="e">
        <f t="shared" si="33"/>
        <v>#N/A</v>
      </c>
      <c r="S76" s="15" t="e">
        <f t="shared" si="34"/>
        <v>#N/A</v>
      </c>
      <c r="T76" s="15" t="e">
        <f t="shared" si="35"/>
        <v>#N/A</v>
      </c>
      <c r="U76" s="15" t="e">
        <f t="shared" si="30"/>
        <v>#N/A</v>
      </c>
      <c r="V76" s="15" t="e">
        <f t="shared" si="36"/>
        <v>#N/A</v>
      </c>
      <c r="W76" s="15" t="e">
        <f t="shared" si="37"/>
        <v>#N/A</v>
      </c>
      <c r="X76" s="15" t="e">
        <f t="shared" si="38"/>
        <v>#N/A</v>
      </c>
      <c r="Y76" s="15" t="e">
        <f t="shared" si="39"/>
        <v>#N/A</v>
      </c>
      <c r="Z76" s="15" t="e">
        <f t="shared" si="40"/>
        <v>#N/A</v>
      </c>
      <c r="AA76" s="15" t="e">
        <f t="shared" si="41"/>
        <v>#N/A</v>
      </c>
      <c r="AB76" s="15" t="e">
        <f t="shared" si="42"/>
        <v>#N/A</v>
      </c>
      <c r="AC76" s="15" t="e">
        <f t="shared" si="43"/>
        <v>#N/A</v>
      </c>
      <c r="AD76" s="15" t="e">
        <f t="shared" si="31"/>
        <v>#N/A</v>
      </c>
      <c r="AE76" s="15" t="e">
        <f t="shared" si="44"/>
        <v>#N/A</v>
      </c>
      <c r="AF76" s="15" t="e">
        <f t="shared" si="32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topLeftCell="C1" workbookViewId="0">
      <selection activeCell="V13" sqref="V13"/>
    </sheetView>
  </sheetViews>
  <sheetFormatPr defaultRowHeight="14.4" x14ac:dyDescent="0.3"/>
  <cols>
    <col min="2" max="2" width="15.21875" style="18" bestFit="1" customWidth="1"/>
    <col min="7" max="7" width="2.21875" style="6" customWidth="1"/>
    <col min="11" max="11" width="1.77734375" style="6" customWidth="1"/>
    <col min="12" max="22" width="8.88671875" style="18" customWidth="1"/>
    <col min="23" max="23" width="1.44140625" style="6" customWidth="1"/>
  </cols>
  <sheetData>
    <row r="1" spans="1:28" x14ac:dyDescent="0.3">
      <c r="D1" s="11" t="s">
        <v>59</v>
      </c>
      <c r="E1" s="11" t="s">
        <v>59</v>
      </c>
      <c r="F1" s="11" t="s">
        <v>60</v>
      </c>
      <c r="G1" s="7"/>
      <c r="H1" s="11" t="s">
        <v>45</v>
      </c>
      <c r="I1" s="11" t="s">
        <v>45</v>
      </c>
      <c r="J1" s="11" t="s">
        <v>44</v>
      </c>
      <c r="K1" s="7"/>
      <c r="L1" s="9" t="s">
        <v>19</v>
      </c>
      <c r="M1" s="12" t="s">
        <v>10</v>
      </c>
      <c r="N1" s="12" t="s">
        <v>61</v>
      </c>
      <c r="O1" s="12" t="s">
        <v>62</v>
      </c>
      <c r="P1" s="12" t="s">
        <v>63</v>
      </c>
      <c r="Q1" s="12" t="s">
        <v>64</v>
      </c>
      <c r="R1" s="12" t="s">
        <v>65</v>
      </c>
      <c r="S1" s="12" t="s">
        <v>66</v>
      </c>
      <c r="T1" s="12" t="s">
        <v>67</v>
      </c>
      <c r="U1" s="12" t="s">
        <v>68</v>
      </c>
      <c r="V1" s="12" t="s">
        <v>24</v>
      </c>
      <c r="X1" t="s">
        <v>53</v>
      </c>
      <c r="AA1" t="s">
        <v>54</v>
      </c>
    </row>
    <row r="2" spans="1:28" x14ac:dyDescent="0.3">
      <c r="A2" t="s">
        <v>69</v>
      </c>
      <c r="B2" t="s">
        <v>56</v>
      </c>
      <c r="D2" s="11" t="s">
        <v>58</v>
      </c>
      <c r="E2" s="11" t="s">
        <v>70</v>
      </c>
      <c r="F2" s="11" t="s">
        <v>58</v>
      </c>
      <c r="G2" s="7"/>
      <c r="H2" s="11" t="s">
        <v>58</v>
      </c>
      <c r="I2" s="11" t="s">
        <v>70</v>
      </c>
      <c r="J2" s="11" t="s">
        <v>58</v>
      </c>
      <c r="K2" s="7"/>
      <c r="L2" s="12" t="s">
        <v>7</v>
      </c>
      <c r="M2" s="12" t="s">
        <v>7</v>
      </c>
      <c r="N2" s="12" t="s">
        <v>7</v>
      </c>
      <c r="O2" s="12" t="s">
        <v>7</v>
      </c>
      <c r="P2" s="12" t="s">
        <v>7</v>
      </c>
      <c r="Q2" s="12" t="s">
        <v>7</v>
      </c>
      <c r="R2" s="12" t="s">
        <v>7</v>
      </c>
      <c r="S2" s="12" t="s">
        <v>7</v>
      </c>
      <c r="T2" s="12" t="s">
        <v>7</v>
      </c>
      <c r="U2" s="12" t="s">
        <v>71</v>
      </c>
      <c r="V2" s="12" t="s">
        <v>7</v>
      </c>
      <c r="X2">
        <v>4.5</v>
      </c>
      <c r="Y2">
        <v>0</v>
      </c>
      <c r="AA2">
        <v>11.5</v>
      </c>
      <c r="AB2">
        <v>0</v>
      </c>
    </row>
    <row r="3" spans="1:28" x14ac:dyDescent="0.3">
      <c r="A3">
        <v>1</v>
      </c>
      <c r="B3" t="str">
        <f>'Data Entry'!B6</f>
        <v>Baseline</v>
      </c>
      <c r="C3">
        <v>1</v>
      </c>
      <c r="D3" t="e">
        <f>'Data Entry'!C8</f>
        <v>#N/A</v>
      </c>
      <c r="E3" t="e">
        <f>'Data Entry'!C11</f>
        <v>#N/A</v>
      </c>
      <c r="F3" t="e">
        <f>D3</f>
        <v>#N/A</v>
      </c>
      <c r="H3" t="e">
        <v>#N/A</v>
      </c>
      <c r="I3" t="e">
        <v>#N/A</v>
      </c>
      <c r="J3" t="e">
        <v>#N/A</v>
      </c>
      <c r="L3" t="e">
        <f>'Data Entry'!B10</f>
        <v>#N/A</v>
      </c>
      <c r="M3" t="e">
        <f>'Data Entry'!$G7</f>
        <v>#N/A</v>
      </c>
      <c r="N3" t="e">
        <f>'Data Entry'!$G8</f>
        <v>#N/A</v>
      </c>
      <c r="O3" t="e">
        <f>'Data Entry'!$G16</f>
        <v>#N/A</v>
      </c>
      <c r="P3" t="e">
        <f>'Data Entry'!$G10</f>
        <v>#N/A</v>
      </c>
      <c r="Q3" t="e">
        <f>'Data Entry'!I7</f>
        <v>#N/A</v>
      </c>
      <c r="R3" t="e">
        <f>'Data Entry'!I15</f>
        <v>#N/A</v>
      </c>
      <c r="S3" t="e">
        <f>'Data Entry'!I9</f>
        <v>#N/A</v>
      </c>
      <c r="T3" t="e">
        <f>'Data Entry'!I10</f>
        <v>#N/A</v>
      </c>
      <c r="U3" t="e">
        <f t="shared" ref="U3:U12" si="0">R3+S3+T3</f>
        <v>#N/A</v>
      </c>
      <c r="V3" t="e">
        <f>'Data Entry'!I11</f>
        <v>#N/A</v>
      </c>
      <c r="X3">
        <v>4.5</v>
      </c>
      <c r="Y3">
        <v>1000</v>
      </c>
      <c r="AA3">
        <v>11.5</v>
      </c>
      <c r="AB3">
        <v>1000</v>
      </c>
    </row>
    <row r="4" spans="1:28" x14ac:dyDescent="0.3">
      <c r="A4">
        <v>2</v>
      </c>
      <c r="B4" t="str">
        <f>'Data Entry'!B13</f>
        <v>Baseline</v>
      </c>
      <c r="C4">
        <v>2</v>
      </c>
      <c r="D4" t="e">
        <f>'Data Entry'!C15</f>
        <v>#N/A</v>
      </c>
      <c r="E4" t="e">
        <f>'Data Entry'!C18</f>
        <v>#N/A</v>
      </c>
      <c r="F4" t="e">
        <f>D4</f>
        <v>#N/A</v>
      </c>
      <c r="H4" t="e">
        <v>#N/A</v>
      </c>
      <c r="I4" t="e">
        <v>#N/A</v>
      </c>
      <c r="J4" t="e">
        <v>#N/A</v>
      </c>
      <c r="L4" t="e">
        <f>'Data Entry'!B17</f>
        <v>#N/A</v>
      </c>
      <c r="M4" t="e">
        <f>'Data Entry'!$G14</f>
        <v>#N/A</v>
      </c>
      <c r="N4" t="e">
        <f>'Data Entry'!$G15</f>
        <v>#N/A</v>
      </c>
      <c r="O4" t="e">
        <f>'Data Entry'!$G10</f>
        <v>#N/A</v>
      </c>
      <c r="P4" t="e">
        <f>'Data Entry'!$G16</f>
        <v>#N/A</v>
      </c>
      <c r="Q4" t="e">
        <f>'Data Entry'!I14</f>
        <v>#N/A</v>
      </c>
      <c r="R4" t="e">
        <f>'Data Entry'!I15</f>
        <v>#N/A</v>
      </c>
      <c r="S4" t="e">
        <f>'Data Entry'!I16</f>
        <v>#N/A</v>
      </c>
      <c r="T4" t="e">
        <f>'Data Entry'!I17</f>
        <v>#N/A</v>
      </c>
      <c r="U4" t="e">
        <f t="shared" si="0"/>
        <v>#N/A</v>
      </c>
      <c r="V4" t="e">
        <f>'Data Entry'!I18</f>
        <v>#N/A</v>
      </c>
    </row>
    <row r="5" spans="1:28" x14ac:dyDescent="0.3">
      <c r="A5">
        <v>3</v>
      </c>
      <c r="B5" t="str">
        <f>'Data Entry'!B20</f>
        <v>Baseline</v>
      </c>
      <c r="C5">
        <v>3</v>
      </c>
      <c r="D5" t="e">
        <f>'Data Entry'!C22</f>
        <v>#N/A</v>
      </c>
      <c r="E5" t="e">
        <f>'Data Entry'!C25</f>
        <v>#N/A</v>
      </c>
      <c r="F5" t="e">
        <f>D5</f>
        <v>#N/A</v>
      </c>
      <c r="H5" t="e">
        <v>#N/A</v>
      </c>
      <c r="I5" t="e">
        <v>#N/A</v>
      </c>
      <c r="J5" t="e">
        <v>#N/A</v>
      </c>
      <c r="L5" t="e">
        <f>'Data Entry'!B24</f>
        <v>#N/A</v>
      </c>
      <c r="M5" t="e">
        <f>'Data Entry'!$G21</f>
        <v>#N/A</v>
      </c>
      <c r="N5" t="e">
        <f>'Data Entry'!$G22</f>
        <v>#N/A</v>
      </c>
      <c r="O5" t="e">
        <f>'Data Entry'!$G23</f>
        <v>#N/A</v>
      </c>
      <c r="P5" t="e">
        <f>'Data Entry'!$G24</f>
        <v>#N/A</v>
      </c>
      <c r="Q5" t="e">
        <f>'Data Entry'!I21</f>
        <v>#N/A</v>
      </c>
      <c r="R5" t="e">
        <f>'Data Entry'!I22</f>
        <v>#N/A</v>
      </c>
      <c r="S5" t="e">
        <f>'Data Entry'!I23</f>
        <v>#N/A</v>
      </c>
      <c r="T5" t="e">
        <f>'Data Entry'!I24</f>
        <v>#N/A</v>
      </c>
      <c r="U5" t="e">
        <f t="shared" si="0"/>
        <v>#N/A</v>
      </c>
      <c r="V5" t="e">
        <f>'Data Entry'!I25</f>
        <v>#N/A</v>
      </c>
      <c r="X5">
        <v>7.5</v>
      </c>
      <c r="Y5">
        <v>0</v>
      </c>
      <c r="AA5">
        <v>12.5</v>
      </c>
      <c r="AB5">
        <v>0</v>
      </c>
    </row>
    <row r="6" spans="1:28" x14ac:dyDescent="0.3">
      <c r="A6">
        <v>4</v>
      </c>
      <c r="B6" t="str">
        <f>'Data Entry'!B45</f>
        <v>Treatment</v>
      </c>
      <c r="C6">
        <v>4</v>
      </c>
      <c r="D6" t="e">
        <f>'Data Entry'!C29</f>
        <v>#N/A</v>
      </c>
      <c r="E6" t="e">
        <f>'Data Entry'!C29</f>
        <v>#N/A</v>
      </c>
      <c r="F6" t="e">
        <f>D6</f>
        <v>#N/A</v>
      </c>
      <c r="H6" t="e">
        <f>'Data Entry'!C31</f>
        <v>#N/A</v>
      </c>
      <c r="I6" t="e">
        <f>'Data Entry'!C33</f>
        <v>#N/A</v>
      </c>
      <c r="J6" t="e">
        <v>#N/A</v>
      </c>
      <c r="L6" t="e">
        <f>'Data Entry'!B32</f>
        <v>#N/A</v>
      </c>
      <c r="M6" t="e">
        <f>'Data Entry'!$G28</f>
        <v>#N/A</v>
      </c>
      <c r="N6" t="e">
        <f>'Data Entry'!$G29</f>
        <v>#N/A</v>
      </c>
      <c r="O6" t="e">
        <f>'Data Entry'!$G30</f>
        <v>#N/A</v>
      </c>
      <c r="P6" t="e">
        <f>'Data Entry'!$G31</f>
        <v>#N/A</v>
      </c>
      <c r="Q6" t="e">
        <f>'Data Entry'!I28</f>
        <v>#N/A</v>
      </c>
      <c r="R6" t="e">
        <f>'Data Entry'!I29</f>
        <v>#N/A</v>
      </c>
      <c r="S6" t="e">
        <f>'Data Entry'!I30</f>
        <v>#N/A</v>
      </c>
      <c r="T6" t="e">
        <f>'Data Entry'!I31</f>
        <v>#N/A</v>
      </c>
      <c r="U6" t="e">
        <f t="shared" si="0"/>
        <v>#N/A</v>
      </c>
      <c r="V6" t="e">
        <f>'Data Entry'!I32</f>
        <v>#N/A</v>
      </c>
      <c r="X6">
        <v>7.5</v>
      </c>
      <c r="Y6">
        <v>1000</v>
      </c>
      <c r="AA6">
        <v>12.5</v>
      </c>
      <c r="AB6">
        <v>1000</v>
      </c>
    </row>
    <row r="7" spans="1:28" x14ac:dyDescent="0.3">
      <c r="A7">
        <v>5</v>
      </c>
      <c r="B7" t="str">
        <f>'Data Entry'!B53</f>
        <v>Treatment</v>
      </c>
      <c r="C7">
        <v>5</v>
      </c>
      <c r="D7" t="e">
        <f>'Data Entry'!$C37</f>
        <v>#N/A</v>
      </c>
      <c r="E7">
        <v>0</v>
      </c>
      <c r="F7" t="e">
        <f>D7</f>
        <v>#N/A</v>
      </c>
      <c r="H7" t="e">
        <f>'Data Entry'!C39</f>
        <v>#N/A</v>
      </c>
      <c r="I7" t="e">
        <f>'Data Entry'!C41</f>
        <v>#N/A</v>
      </c>
      <c r="J7" t="e">
        <v>#N/A</v>
      </c>
      <c r="L7" t="e">
        <f>'Data Entry'!B40</f>
        <v>#N/A</v>
      </c>
      <c r="M7" t="e">
        <f>'Data Entry'!$G36</f>
        <v>#N/A</v>
      </c>
      <c r="N7" t="e">
        <f>'Data Entry'!$G37</f>
        <v>#N/A</v>
      </c>
      <c r="O7" t="e">
        <f>'Data Entry'!$G38</f>
        <v>#N/A</v>
      </c>
      <c r="P7" t="e">
        <f>'Data Entry'!$G39</f>
        <v>#N/A</v>
      </c>
      <c r="Q7" t="e">
        <f>'Data Entry'!I36</f>
        <v>#N/A</v>
      </c>
      <c r="R7" t="e">
        <f>'Data Entry'!I37</f>
        <v>#N/A</v>
      </c>
      <c r="S7" t="e">
        <f>'Data Entry'!I38</f>
        <v>#N/A</v>
      </c>
      <c r="T7" t="e">
        <f>'Data Entry'!I39</f>
        <v>#N/A</v>
      </c>
      <c r="U7" t="e">
        <f t="shared" si="0"/>
        <v>#N/A</v>
      </c>
      <c r="V7" t="e">
        <f>'Data Entry'!I40</f>
        <v>#N/A</v>
      </c>
    </row>
    <row r="8" spans="1:28" x14ac:dyDescent="0.3">
      <c r="A8">
        <v>6</v>
      </c>
      <c r="B8" t="str">
        <f>'Data Entry'!B61</f>
        <v>Treatment</v>
      </c>
      <c r="C8">
        <v>6</v>
      </c>
      <c r="D8" t="e">
        <f>'Data Entry'!$C47</f>
        <v>#N/A</v>
      </c>
      <c r="E8">
        <v>0</v>
      </c>
      <c r="F8" t="e">
        <f>'Data Entry'!C47</f>
        <v>#N/A</v>
      </c>
      <c r="H8" t="e">
        <f>'Data Entry'!$C48</f>
        <v>#N/A</v>
      </c>
      <c r="I8" t="e">
        <f>'Data Entry'!$C50</f>
        <v>#N/A</v>
      </c>
      <c r="J8" t="e">
        <f>D8</f>
        <v>#N/A</v>
      </c>
      <c r="L8" t="e">
        <f>'Data Entry'!B49</f>
        <v>#N/A</v>
      </c>
      <c r="M8" t="e">
        <f>'Data Entry'!$G45</f>
        <v>#N/A</v>
      </c>
      <c r="N8" t="e">
        <f>'Data Entry'!$G46</f>
        <v>#N/A</v>
      </c>
      <c r="O8" t="e">
        <f>'Data Entry'!$G47</f>
        <v>#N/A</v>
      </c>
      <c r="P8" t="e">
        <f>'Data Entry'!$G48</f>
        <v>#N/A</v>
      </c>
      <c r="Q8" t="e">
        <f>'Data Entry'!I45</f>
        <v>#N/A</v>
      </c>
      <c r="R8" t="e">
        <f>'Data Entry'!I46</f>
        <v>#N/A</v>
      </c>
      <c r="S8" t="e">
        <f>'Data Entry'!I47</f>
        <v>#N/A</v>
      </c>
      <c r="T8" t="e">
        <f>'Data Entry'!I48</f>
        <v>#N/A</v>
      </c>
      <c r="U8" t="e">
        <f t="shared" si="0"/>
        <v>#N/A</v>
      </c>
      <c r="V8" t="e">
        <f>'Data Entry'!I49</f>
        <v>#N/A</v>
      </c>
      <c r="AA8">
        <v>13.5</v>
      </c>
      <c r="AB8">
        <v>0</v>
      </c>
    </row>
    <row r="9" spans="1:28" x14ac:dyDescent="0.3">
      <c r="A9">
        <v>7</v>
      </c>
      <c r="B9" t="s">
        <v>72</v>
      </c>
      <c r="C9">
        <v>7</v>
      </c>
      <c r="D9" t="e">
        <f>'Data Entry'!$C55</f>
        <v>#N/A</v>
      </c>
      <c r="E9">
        <v>0</v>
      </c>
      <c r="F9" t="e">
        <f>'Data Entry'!C55</f>
        <v>#N/A</v>
      </c>
      <c r="H9" t="e">
        <f>'Data Entry'!$C56</f>
        <v>#N/A</v>
      </c>
      <c r="I9" t="e">
        <f>'Data Entry'!$C58</f>
        <v>#N/A</v>
      </c>
      <c r="J9" t="e">
        <f>D9</f>
        <v>#N/A</v>
      </c>
      <c r="L9" t="e">
        <f>'Data Entry'!B57</f>
        <v>#N/A</v>
      </c>
      <c r="M9" t="e">
        <f>'Data Entry'!$G53</f>
        <v>#N/A</v>
      </c>
      <c r="N9" t="e">
        <f>'Data Entry'!$G54</f>
        <v>#N/A</v>
      </c>
      <c r="O9" t="e">
        <f>'Data Entry'!$G55</f>
        <v>#N/A</v>
      </c>
      <c r="P9" t="e">
        <f>'Data Entry'!$G56</f>
        <v>#N/A</v>
      </c>
      <c r="Q9" t="e">
        <f>'Data Entry'!I53</f>
        <v>#N/A</v>
      </c>
      <c r="R9" t="e">
        <f>'Data Entry'!I54</f>
        <v>#N/A</v>
      </c>
      <c r="S9" t="e">
        <f>'Data Entry'!I55</f>
        <v>#N/A</v>
      </c>
      <c r="T9" t="e">
        <f>'Data Entry'!I56</f>
        <v>#N/A</v>
      </c>
      <c r="U9" t="e">
        <f t="shared" si="0"/>
        <v>#N/A</v>
      </c>
      <c r="V9" t="e">
        <f>'Data Entry'!I57</f>
        <v>#N/A</v>
      </c>
      <c r="AA9">
        <v>13.5</v>
      </c>
      <c r="AB9">
        <v>1000</v>
      </c>
    </row>
    <row r="10" spans="1:28" x14ac:dyDescent="0.3">
      <c r="A10">
        <v>8</v>
      </c>
      <c r="B10" t="s">
        <v>73</v>
      </c>
      <c r="C10">
        <v>8</v>
      </c>
      <c r="D10" t="e">
        <f>'Data Entry'!$C63</f>
        <v>#N/A</v>
      </c>
      <c r="E10">
        <v>0</v>
      </c>
      <c r="F10" t="e">
        <f>'Data Entry'!C63</f>
        <v>#N/A</v>
      </c>
      <c r="H10" t="e">
        <f>'Data Entry'!$C64</f>
        <v>#N/A</v>
      </c>
      <c r="I10">
        <f>'Data Entry'!$C66</f>
        <v>0</v>
      </c>
      <c r="J10" t="e">
        <f>D10</f>
        <v>#N/A</v>
      </c>
      <c r="L10" t="e">
        <f>'Data Entry'!B65</f>
        <v>#N/A</v>
      </c>
      <c r="M10" t="e">
        <f>'Data Entry'!$G61</f>
        <v>#N/A</v>
      </c>
      <c r="N10" t="e">
        <f>'Data Entry'!$G62</f>
        <v>#N/A</v>
      </c>
      <c r="O10" t="e">
        <f>'Data Entry'!$G63</f>
        <v>#N/A</v>
      </c>
      <c r="P10" t="e">
        <f>'Data Entry'!$G64</f>
        <v>#N/A</v>
      </c>
      <c r="Q10" t="e">
        <f>'Data Entry'!I61</f>
        <v>#N/A</v>
      </c>
      <c r="R10" t="e">
        <f>'Data Entry'!I62</f>
        <v>#N/A</v>
      </c>
      <c r="S10" t="e">
        <f>'Data Entry'!I63</f>
        <v>#N/A</v>
      </c>
      <c r="T10" t="e">
        <f>'Data Entry'!I64</f>
        <v>#N/A</v>
      </c>
      <c r="U10" t="e">
        <f t="shared" si="0"/>
        <v>#N/A</v>
      </c>
      <c r="V10" t="e">
        <f>'Data Entry'!I65</f>
        <v>#N/A</v>
      </c>
    </row>
    <row r="11" spans="1:28" x14ac:dyDescent="0.3">
      <c r="A11">
        <v>9</v>
      </c>
      <c r="B11" t="s">
        <v>72</v>
      </c>
      <c r="C11">
        <v>9</v>
      </c>
      <c r="D11" t="e">
        <f>'Data Entry'!$C71</f>
        <v>#N/A</v>
      </c>
      <c r="E11">
        <v>0</v>
      </c>
      <c r="F11" t="e">
        <f>'Data Entry'!C71</f>
        <v>#N/A</v>
      </c>
      <c r="H11" t="e">
        <f>'Data Entry'!$C72</f>
        <v>#N/A</v>
      </c>
      <c r="I11">
        <f>'Data Entry'!$C74</f>
        <v>0</v>
      </c>
      <c r="J11" t="e">
        <f>D11</f>
        <v>#N/A</v>
      </c>
      <c r="L11" t="e">
        <f>'Data Entry'!B73</f>
        <v>#N/A</v>
      </c>
      <c r="M11" t="e">
        <f>'Data Entry'!$G69</f>
        <v>#N/A</v>
      </c>
      <c r="N11" t="e">
        <f>'Data Entry'!$G70</f>
        <v>#N/A</v>
      </c>
      <c r="O11" t="e">
        <f>'Data Entry'!$G71</f>
        <v>#N/A</v>
      </c>
      <c r="P11" t="e">
        <f>'Data Entry'!$G72</f>
        <v>#N/A</v>
      </c>
      <c r="Q11" t="e">
        <f>'Data Entry'!I69</f>
        <v>#N/A</v>
      </c>
      <c r="R11" t="e">
        <f>'Data Entry'!I70</f>
        <v>#N/A</v>
      </c>
      <c r="S11" t="e">
        <f>'Data Entry'!I71</f>
        <v>#N/A</v>
      </c>
      <c r="T11" t="e">
        <f>'Data Entry'!I72</f>
        <v>#N/A</v>
      </c>
      <c r="U11" t="e">
        <f t="shared" si="0"/>
        <v>#N/A</v>
      </c>
      <c r="V11" t="e">
        <f>'Data Entry'!I73</f>
        <v>#N/A</v>
      </c>
    </row>
    <row r="12" spans="1:28" x14ac:dyDescent="0.3">
      <c r="A12">
        <v>10</v>
      </c>
      <c r="B12" t="s">
        <v>74</v>
      </c>
      <c r="C12">
        <v>10</v>
      </c>
      <c r="D12" t="e">
        <f>'Data Entry'!$C72</f>
        <v>#N/A</v>
      </c>
      <c r="E12">
        <v>0</v>
      </c>
      <c r="F12" t="e">
        <f>'Data Entry'!C72</f>
        <v>#N/A</v>
      </c>
      <c r="H12" t="e">
        <f>'Data Entry'!$C80</f>
        <v>#N/A</v>
      </c>
      <c r="I12">
        <f>'Data Entry'!$C75</f>
        <v>0</v>
      </c>
      <c r="J12" t="e">
        <f>D12</f>
        <v>#N/A</v>
      </c>
      <c r="L12" t="e">
        <f>'Data Entry'!B81</f>
        <v>#N/A</v>
      </c>
      <c r="M12" t="e">
        <f>'Data Entry'!$G77</f>
        <v>#N/A</v>
      </c>
      <c r="N12" t="e">
        <f>'Data Entry'!$G78</f>
        <v>#N/A</v>
      </c>
      <c r="O12" t="e">
        <f>'Data Entry'!$G79</f>
        <v>#N/A</v>
      </c>
      <c r="P12" t="e">
        <f>'Data Entry'!$G80</f>
        <v>#N/A</v>
      </c>
      <c r="Q12" t="e">
        <f>'Data Entry'!I77</f>
        <v>#N/A</v>
      </c>
      <c r="R12" t="e">
        <f>'Data Entry'!I78</f>
        <v>#N/A</v>
      </c>
      <c r="S12" t="e">
        <f>'Data Entry'!I79</f>
        <v>#N/A</v>
      </c>
      <c r="T12" t="e">
        <f>'Data Entry'!I80</f>
        <v>#N/A</v>
      </c>
      <c r="U12" t="e">
        <f t="shared" si="0"/>
        <v>#N/A</v>
      </c>
      <c r="V12" t="e">
        <f>'Data Entry'!I81</f>
        <v>#N/A</v>
      </c>
    </row>
    <row r="13" spans="1:28" x14ac:dyDescent="0.3">
      <c r="A13">
        <v>11</v>
      </c>
      <c r="B13" t="s">
        <v>75</v>
      </c>
    </row>
    <row r="14" spans="1:28" x14ac:dyDescent="0.3">
      <c r="A14">
        <v>12</v>
      </c>
      <c r="B14" t="s">
        <v>73</v>
      </c>
    </row>
    <row r="15" spans="1:28" x14ac:dyDescent="0.3">
      <c r="A15">
        <v>13</v>
      </c>
      <c r="B15" t="s">
        <v>72</v>
      </c>
    </row>
    <row r="16" spans="1:28" x14ac:dyDescent="0.3">
      <c r="A16">
        <v>14</v>
      </c>
      <c r="B16" t="s">
        <v>73</v>
      </c>
    </row>
    <row r="17" spans="1:2" x14ac:dyDescent="0.3">
      <c r="A17">
        <v>15</v>
      </c>
      <c r="B17" t="s">
        <v>72</v>
      </c>
    </row>
    <row r="18" spans="1:2" x14ac:dyDescent="0.3">
      <c r="A18">
        <v>16</v>
      </c>
      <c r="B18" t="s">
        <v>73</v>
      </c>
    </row>
    <row r="19" spans="1:2" x14ac:dyDescent="0.3">
      <c r="A19">
        <v>17</v>
      </c>
      <c r="B19" t="s">
        <v>72</v>
      </c>
    </row>
    <row r="20" spans="1:2" x14ac:dyDescent="0.3">
      <c r="A20">
        <v>18</v>
      </c>
      <c r="B20" t="s">
        <v>73</v>
      </c>
    </row>
    <row r="21" spans="1:2" x14ac:dyDescent="0.3">
      <c r="A21">
        <v>19</v>
      </c>
      <c r="B21" t="s">
        <v>72</v>
      </c>
    </row>
    <row r="22" spans="1:2" x14ac:dyDescent="0.3">
      <c r="A22">
        <v>20</v>
      </c>
      <c r="B22" t="s">
        <v>73</v>
      </c>
    </row>
    <row r="23" spans="1:2" x14ac:dyDescent="0.3">
      <c r="A23">
        <v>21</v>
      </c>
      <c r="B23" t="s">
        <v>72</v>
      </c>
    </row>
    <row r="24" spans="1:2" x14ac:dyDescent="0.3">
      <c r="A24">
        <v>22</v>
      </c>
      <c r="B24" t="s">
        <v>73</v>
      </c>
    </row>
    <row r="25" spans="1:2" x14ac:dyDescent="0.3">
      <c r="A25">
        <v>23</v>
      </c>
      <c r="B2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E4" sqref="E4"/>
    </sheetView>
  </sheetViews>
  <sheetFormatPr defaultRowHeight="14.4" x14ac:dyDescent="0.3"/>
  <sheetData>
    <row r="1" spans="1:5" x14ac:dyDescent="0.3">
      <c r="A1" t="s">
        <v>4</v>
      </c>
      <c r="E1" t="s">
        <v>4</v>
      </c>
    </row>
    <row r="2" spans="1:5" x14ac:dyDescent="0.3">
      <c r="A2" t="s">
        <v>39</v>
      </c>
      <c r="E2" t="s">
        <v>39</v>
      </c>
    </row>
    <row r="3" spans="1:5" x14ac:dyDescent="0.3">
      <c r="A3" t="s">
        <v>76</v>
      </c>
      <c r="E3" t="s">
        <v>77</v>
      </c>
    </row>
    <row r="4" spans="1:5" x14ac:dyDescent="0.3">
      <c r="A4" t="s">
        <v>78</v>
      </c>
      <c r="E4" t="s">
        <v>43</v>
      </c>
    </row>
    <row r="5" spans="1:5" x14ac:dyDescent="0.3">
      <c r="A5" t="s">
        <v>79</v>
      </c>
    </row>
    <row r="7" spans="1:5" x14ac:dyDescent="0.3">
      <c r="A7" t="s">
        <v>80</v>
      </c>
    </row>
    <row r="8" spans="1:5" x14ac:dyDescent="0.3">
      <c r="A8" t="s">
        <v>81</v>
      </c>
    </row>
    <row r="9" spans="1:5" x14ac:dyDescent="0.3">
      <c r="A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5</vt:i4>
      </vt:variant>
    </vt:vector>
  </HeadingPairs>
  <TitlesOfParts>
    <vt:vector size="9" baseType="lpstr">
      <vt:lpstr>Data Entry</vt:lpstr>
      <vt:lpstr>Data Entry 1</vt:lpstr>
      <vt:lpstr>Session by Session</vt:lpstr>
      <vt:lpstr>Sheet2</vt:lpstr>
      <vt:lpstr>Rate</vt:lpstr>
      <vt:lpstr>Combined Power Ups</vt:lpstr>
      <vt:lpstr>Rate of Reinf</vt:lpstr>
      <vt:lpstr>Asteroids hit</vt:lpstr>
      <vt:lpstr>All Power 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cmauz_000</dc:creator>
  <cp:lastModifiedBy>courtney mauzy</cp:lastModifiedBy>
  <dcterms:created xsi:type="dcterms:W3CDTF">2019-07-08T15:40:40Z</dcterms:created>
  <dcterms:modified xsi:type="dcterms:W3CDTF">2024-02-27T17:40:07Z</dcterms:modified>
</cp:coreProperties>
</file>