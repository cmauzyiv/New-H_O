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198d1ca22e0475/Python Programs/Multiple Schedule Study/Main Files 1/Assets/"/>
    </mc:Choice>
  </mc:AlternateContent>
  <xr:revisionPtr revIDLastSave="136" documentId="11_F94DFFDCF35690CEF10E5706F7BD1E5998367F8A" xr6:coauthVersionLast="47" xr6:coauthVersionMax="47" xr10:uidLastSave="{95E63E71-F170-4D86-989F-9F5BC16FCC39}"/>
  <bookViews>
    <workbookView xWindow="-108" yWindow="-108" windowWidth="23256" windowHeight="12456" activeTab="5" xr2:uid="{00000000-000D-0000-FFFF-FFFF00000000}"/>
  </bookViews>
  <sheets>
    <sheet name="Data Entry" sheetId="1" r:id="rId1"/>
    <sheet name="Session by Session" sheetId="2" r:id="rId2"/>
    <sheet name="Rate" sheetId="7" r:id="rId3"/>
    <sheet name="Rate of Reinf" sheetId="8" r:id="rId4"/>
    <sheet name="Asteroids hit" sheetId="9" r:id="rId5"/>
    <sheet name="All Power Ups" sheetId="15" r:id="rId6"/>
    <sheet name="Sheet2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2" l="1"/>
  <c r="U5" i="2"/>
  <c r="U6" i="2"/>
  <c r="U7" i="2"/>
  <c r="U8" i="2"/>
  <c r="U9" i="2"/>
  <c r="U10" i="2"/>
  <c r="U11" i="2"/>
  <c r="U3" i="2"/>
  <c r="V11" i="2"/>
  <c r="T11" i="2"/>
  <c r="S11" i="2"/>
  <c r="R11" i="2"/>
  <c r="Q11" i="2"/>
  <c r="P11" i="2"/>
  <c r="O11" i="2"/>
  <c r="N11" i="2"/>
  <c r="M11" i="2"/>
  <c r="V10" i="2"/>
  <c r="T10" i="2"/>
  <c r="S10" i="2"/>
  <c r="R10" i="2"/>
  <c r="Q10" i="2"/>
  <c r="P10" i="2"/>
  <c r="O10" i="2"/>
  <c r="N10" i="2"/>
  <c r="M10" i="2"/>
  <c r="V9" i="2"/>
  <c r="T9" i="2"/>
  <c r="S9" i="2"/>
  <c r="R9" i="2"/>
  <c r="Q9" i="2"/>
  <c r="P9" i="2"/>
  <c r="O9" i="2"/>
  <c r="N9" i="2"/>
  <c r="M9" i="2"/>
  <c r="V8" i="2"/>
  <c r="T8" i="2"/>
  <c r="S8" i="2"/>
  <c r="R8" i="2"/>
  <c r="Q8" i="2"/>
  <c r="P8" i="2"/>
  <c r="O8" i="2"/>
  <c r="N8" i="2"/>
  <c r="M8" i="2"/>
  <c r="V7" i="2"/>
  <c r="T7" i="2"/>
  <c r="S7" i="2"/>
  <c r="R7" i="2"/>
  <c r="Q7" i="2"/>
  <c r="P7" i="2"/>
  <c r="O7" i="2"/>
  <c r="N7" i="2"/>
  <c r="M7" i="2"/>
  <c r="V6" i="2"/>
  <c r="T6" i="2"/>
  <c r="S6" i="2"/>
  <c r="R6" i="2"/>
  <c r="Q6" i="2"/>
  <c r="P6" i="2"/>
  <c r="O6" i="2"/>
  <c r="N6" i="2"/>
  <c r="M6" i="2"/>
  <c r="V5" i="2"/>
  <c r="T5" i="2"/>
  <c r="S5" i="2"/>
  <c r="R5" i="2"/>
  <c r="Q5" i="2"/>
  <c r="P5" i="2"/>
  <c r="O5" i="2"/>
  <c r="N5" i="2"/>
  <c r="M5" i="2"/>
  <c r="V4" i="2"/>
  <c r="T4" i="2"/>
  <c r="R4" i="2"/>
  <c r="S4" i="2"/>
  <c r="R3" i="2"/>
  <c r="Q4" i="2"/>
  <c r="P4" i="2"/>
  <c r="P3" i="2"/>
  <c r="O3" i="2"/>
  <c r="O4" i="2"/>
  <c r="N4" i="2"/>
  <c r="M4" i="2"/>
  <c r="V3" i="2"/>
  <c r="T3" i="2"/>
  <c r="S3" i="2"/>
  <c r="Q3" i="2"/>
  <c r="N3" i="2"/>
  <c r="M3" i="2"/>
  <c r="L11" i="2" l="1"/>
  <c r="I11" i="2"/>
  <c r="H11" i="2"/>
  <c r="F11" i="2"/>
  <c r="D11" i="2"/>
  <c r="J11" i="2" s="1"/>
  <c r="L10" i="2"/>
  <c r="I10" i="2"/>
  <c r="H10" i="2"/>
  <c r="F10" i="2"/>
  <c r="D10" i="2"/>
  <c r="J10" i="2" s="1"/>
  <c r="L9" i="2"/>
  <c r="I9" i="2"/>
  <c r="H9" i="2"/>
  <c r="F9" i="2"/>
  <c r="D9" i="2"/>
  <c r="J9" i="2" s="1"/>
  <c r="L8" i="2"/>
  <c r="I8" i="2"/>
  <c r="H8" i="2"/>
  <c r="F8" i="2"/>
  <c r="D8" i="2"/>
  <c r="J8" i="2" s="1"/>
  <c r="B8" i="2"/>
  <c r="L7" i="2"/>
  <c r="I7" i="2"/>
  <c r="H7" i="2"/>
  <c r="D7" i="2"/>
  <c r="F7" i="2" s="1"/>
  <c r="B7" i="2"/>
  <c r="L6" i="2"/>
  <c r="I6" i="2"/>
  <c r="H6" i="2"/>
  <c r="D6" i="2"/>
  <c r="F6" i="2" s="1"/>
  <c r="B6" i="2"/>
  <c r="L5" i="2"/>
  <c r="E5" i="2"/>
  <c r="D5" i="2"/>
  <c r="F5" i="2" s="1"/>
  <c r="B5" i="2"/>
  <c r="L4" i="2"/>
  <c r="E4" i="2"/>
  <c r="D4" i="2"/>
  <c r="F4" i="2" s="1"/>
  <c r="B4" i="2"/>
  <c r="L3" i="2"/>
  <c r="E3" i="2"/>
  <c r="D3" i="2"/>
  <c r="F3" i="2" s="1"/>
  <c r="B3" i="2"/>
  <c r="C72" i="1"/>
  <c r="C71" i="1"/>
  <c r="C64" i="1"/>
  <c r="C63" i="1"/>
  <c r="C56" i="1"/>
  <c r="C55" i="1"/>
  <c r="D50" i="1"/>
  <c r="C50" i="1"/>
  <c r="C48" i="1"/>
  <c r="C47" i="1"/>
  <c r="D41" i="1"/>
  <c r="C41" i="1"/>
  <c r="C39" i="1"/>
  <c r="C37" i="1"/>
  <c r="D33" i="1"/>
  <c r="C33" i="1"/>
  <c r="C31" i="1"/>
  <c r="C29" i="1"/>
  <c r="D25" i="1"/>
  <c r="C25" i="1"/>
  <c r="C22" i="1"/>
  <c r="B22" i="1"/>
  <c r="B29" i="1" s="1"/>
  <c r="B37" i="1" s="1"/>
  <c r="B46" i="1" s="1"/>
  <c r="B54" i="1" s="1"/>
  <c r="B62" i="1" s="1"/>
  <c r="B70" i="1" s="1"/>
  <c r="D18" i="1"/>
  <c r="C18" i="1"/>
  <c r="C15" i="1"/>
  <c r="B15" i="1"/>
  <c r="C11" i="1"/>
  <c r="C8" i="1"/>
</calcChain>
</file>

<file path=xl/sharedStrings.xml><?xml version="1.0" encoding="utf-8"?>
<sst xmlns="http://schemas.openxmlformats.org/spreadsheetml/2006/main" count="340" uniqueCount="74">
  <si>
    <t>DATA ENTRY</t>
  </si>
  <si>
    <t>Initials of person entering data:</t>
  </si>
  <si>
    <t>Initials of person checking data:</t>
  </si>
  <si>
    <t>Phase</t>
  </si>
  <si>
    <t>Baseline</t>
  </si>
  <si>
    <t>IOA</t>
  </si>
  <si>
    <t>Power Ups</t>
  </si>
  <si>
    <t>Freq</t>
  </si>
  <si>
    <t>Trial Type</t>
  </si>
  <si>
    <t>Resp per Min</t>
  </si>
  <si>
    <t>Barrel Roll</t>
  </si>
  <si>
    <t>Flame Change</t>
  </si>
  <si>
    <t>Session</t>
  </si>
  <si>
    <t>Spins</t>
  </si>
  <si>
    <t>Red token</t>
  </si>
  <si>
    <t>Target Resp</t>
  </si>
  <si>
    <t>Y/E</t>
  </si>
  <si>
    <t>Speed Boosts</t>
  </si>
  <si>
    <t>Blue Token</t>
  </si>
  <si>
    <t>Asteroids</t>
  </si>
  <si>
    <t>Reinf per Min</t>
  </si>
  <si>
    <t>Coin Boost</t>
  </si>
  <si>
    <t>Yellow Token</t>
  </si>
  <si>
    <t>Total Points:</t>
  </si>
  <si>
    <t>Crash</t>
  </si>
  <si>
    <t>Alt 1</t>
  </si>
  <si>
    <t>Alt 2</t>
  </si>
  <si>
    <t>target 1</t>
  </si>
  <si>
    <t>Target 2</t>
  </si>
  <si>
    <t>Slope</t>
  </si>
  <si>
    <t>N</t>
  </si>
  <si>
    <t>Se(reg)</t>
  </si>
  <si>
    <t>SE (slope)</t>
  </si>
  <si>
    <t>Dif</t>
  </si>
  <si>
    <t>SE (Dif)</t>
  </si>
  <si>
    <t>T-stat</t>
  </si>
  <si>
    <t>DF</t>
  </si>
  <si>
    <t>P</t>
  </si>
  <si>
    <t>Treatment</t>
  </si>
  <si>
    <t>Alt resp</t>
  </si>
  <si>
    <t>Alt Resp</t>
  </si>
  <si>
    <t>Responses/Reinf Per Min</t>
  </si>
  <si>
    <t>Alternative Resp</t>
  </si>
  <si>
    <t>Extinction</t>
  </si>
  <si>
    <t>BSL</t>
  </si>
  <si>
    <t xml:space="preserve">Target </t>
  </si>
  <si>
    <t>Alt</t>
  </si>
  <si>
    <t>Target</t>
  </si>
  <si>
    <t>Phase Lines</t>
  </si>
  <si>
    <t>Dotted PL</t>
  </si>
  <si>
    <t>Session #</t>
  </si>
  <si>
    <t>Condition</t>
  </si>
  <si>
    <t>Rate</t>
  </si>
  <si>
    <t>Reinf</t>
  </si>
  <si>
    <t>Alternative 2</t>
  </si>
  <si>
    <t>Alternative 1</t>
  </si>
  <si>
    <t>PA</t>
  </si>
  <si>
    <t>Booster Session</t>
  </si>
  <si>
    <t>Step 1</t>
  </si>
  <si>
    <t>Thinning</t>
  </si>
  <si>
    <t>Step 2</t>
  </si>
  <si>
    <t>Step 3</t>
  </si>
  <si>
    <t>SD1</t>
  </si>
  <si>
    <t>Sdelta</t>
  </si>
  <si>
    <t>SD2</t>
  </si>
  <si>
    <t>Spin</t>
  </si>
  <si>
    <t>Speed</t>
  </si>
  <si>
    <t>Coin</t>
  </si>
  <si>
    <t>Flame</t>
  </si>
  <si>
    <t>Red</t>
  </si>
  <si>
    <t>Blue</t>
  </si>
  <si>
    <t xml:space="preserve">Yellow </t>
  </si>
  <si>
    <t xml:space="preserve">Tokens </t>
  </si>
  <si>
    <t xml:space="preserve">Combined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</si>
</sst>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1" fillId="0" borderId="1" xfId="0" applyFont="1" applyBorder="1"/>
    <xf numFmtId="0" fontId="0" fillId="4" borderId="1" xfId="0" applyFill="1" applyBorder="1"/>
    <xf numFmtId="0" fontId="0" fillId="0" borderId="1" xfId="0" applyBorder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0" borderId="3" xfId="0" applyBorder="1" applyAlignment="1">
      <alignment horizontal="center"/>
    </xf>
    <xf numFmtId="0" fontId="0" fillId="5" borderId="0" xfId="0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alcChain" Target="calcChain.xml"/><Relationship Id="rId5" Type="http://schemas.openxmlformats.org/officeDocument/2006/relationships/chartsheet" Target="chart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Target 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dPt>
            <c:idx val="3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F0-4994-BA58-C9D4B9484CBF}"/>
              </c:ext>
            </c:extLst>
          </c:dPt>
          <c:dPt>
            <c:idx val="6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F0-4994-BA58-C9D4B9484CBF}"/>
              </c:ext>
            </c:extLst>
          </c:dPt>
          <c:dPt>
            <c:idx val="9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F0-4994-BA58-C9D4B9484CBF}"/>
              </c:ext>
            </c:extLst>
          </c:dPt>
          <c:dPt>
            <c:idx val="10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F0-4994-BA58-C9D4B9484CBF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F0-4994-BA58-C9D4B9484CBF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'Session by Session'!$F$3:$F$25</c:f>
              <c:numCache>
                <c:formatCode>General</c:formatCode>
                <c:ptCount val="23"/>
                <c:pt idx="0">
                  <c:v>28</c:v>
                </c:pt>
                <c:pt idx="1">
                  <c:v>24</c:v>
                </c:pt>
                <c:pt idx="2">
                  <c:v>11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1F0-4994-BA58-C9D4B9484CBF}"/>
            </c:ext>
          </c:extLst>
        </c:ser>
        <c:ser>
          <c:idx val="1"/>
          <c:order val="1"/>
          <c:tx>
            <c:v>Alt 1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6"/>
            <c:spPr>
              <a:solidFill>
                <a:sysClr val="windowText" lastClr="000000"/>
              </a:solidFill>
              <a:ln>
                <a:solidFill>
                  <a:prstClr val="black"/>
                </a:solidFill>
                <a:prstDash val="solid"/>
              </a:ln>
            </c:spPr>
          </c:marker>
          <c:dPt>
            <c:idx val="6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1F0-4994-BA58-C9D4B9484CBF}"/>
              </c:ext>
            </c:extLst>
          </c:dPt>
          <c:dPt>
            <c:idx val="9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1F0-4994-BA58-C9D4B9484CBF}"/>
              </c:ext>
            </c:extLst>
          </c:dPt>
          <c:dPt>
            <c:idx val="10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1F0-4994-BA58-C9D4B9484CBF}"/>
              </c:ext>
            </c:extLst>
          </c:dPt>
          <c:dPt>
            <c:idx val="11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1F0-4994-BA58-C9D4B9484CBF}"/>
              </c:ext>
            </c:extLst>
          </c:dPt>
          <c:dPt>
            <c:idx val="17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1F0-4994-BA58-C9D4B9484CBF}"/>
              </c:ext>
            </c:extLst>
          </c:dPt>
          <c:dLbls>
            <c:dLbl>
              <c:idx val="4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1F0-4994-BA58-C9D4B9484CBF}"/>
                </c:ext>
              </c:extLst>
            </c:dLbl>
            <c:dLbl>
              <c:idx val="6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F0-4994-BA58-C9D4B9484CB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1F0-4994-BA58-C9D4B9484CB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'Session by Session'!$H$3:$H$25</c:f>
              <c:numCache>
                <c:formatCode>General</c:formatCode>
                <c:ptCount val="2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27</c:v>
                </c:pt>
                <c:pt idx="4">
                  <c:v>41</c:v>
                </c:pt>
                <c:pt idx="5">
                  <c:v>34</c:v>
                </c:pt>
                <c:pt idx="6">
                  <c:v>24</c:v>
                </c:pt>
                <c:pt idx="7">
                  <c:v>3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1F0-4994-BA58-C9D4B9484CBF}"/>
            </c:ext>
          </c:extLst>
        </c:ser>
        <c:ser>
          <c:idx val="2"/>
          <c:order val="2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'Session by Session'!$X$2:$X$6</c:f>
              <c:numCache>
                <c:formatCode>General</c:formatCode>
                <c:ptCount val="5"/>
                <c:pt idx="0">
                  <c:v>3.5</c:v>
                </c:pt>
                <c:pt idx="1">
                  <c:v>3.5</c:v>
                </c:pt>
                <c:pt idx="3">
                  <c:v>6.5</c:v>
                </c:pt>
                <c:pt idx="4">
                  <c:v>6.5</c:v>
                </c:pt>
              </c:numCache>
            </c:numRef>
          </c:xVal>
          <c:yVal>
            <c:numRef>
              <c:f>'Session by Session'!$Y$2:$Y$6</c:f>
              <c:numCache>
                <c:formatCode>General</c:formatCode>
                <c:ptCount val="5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1F0-4994-BA58-C9D4B9484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14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Responses</a:t>
                </a:r>
                <a:r>
                  <a:rPr lang="en-US" baseline="0"/>
                  <a:t> Per Minute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Target 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yVal>
            <c:numRef>
              <c:f>'Session by Session'!$E$3:$E$5</c:f>
              <c:numCache>
                <c:formatCode>General</c:formatCode>
                <c:ptCount val="3"/>
                <c:pt idx="0">
                  <c:v>9</c:v>
                </c:pt>
                <c:pt idx="1">
                  <c:v>6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D-4236-A1B4-12D7BB1A60F0}"/>
            </c:ext>
          </c:extLst>
        </c:ser>
        <c:ser>
          <c:idx val="1"/>
          <c:order val="1"/>
          <c:tx>
            <c:v>Alt 1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6"/>
            <c:spPr>
              <a:solidFill>
                <a:sysClr val="windowText" lastClr="000000"/>
              </a:solidFill>
              <a:ln>
                <a:solidFill>
                  <a:prstClr val="black"/>
                </a:solidFill>
                <a:prstDash val="solid"/>
              </a:ln>
            </c:spPr>
          </c:marker>
          <c:dPt>
            <c:idx val="6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73D-4236-A1B4-12D7BB1A60F0}"/>
              </c:ext>
            </c:extLst>
          </c:dPt>
          <c:xVal>
            <c:numRef>
              <c:f>'Session by Session'!$C$3:$C$11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'Session by Session'!$I$3:$I$11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5</c:v>
                </c:pt>
                <c:pt idx="4">
                  <c:v>4.5</c:v>
                </c:pt>
                <c:pt idx="5">
                  <c:v>5.5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3D-4236-A1B4-12D7BB1A60F0}"/>
            </c:ext>
          </c:extLst>
        </c:ser>
        <c:ser>
          <c:idx val="2"/>
          <c:order val="2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'Session by Session'!$X$2:$X$6</c:f>
              <c:numCache>
                <c:formatCode>General</c:formatCode>
                <c:ptCount val="5"/>
                <c:pt idx="0">
                  <c:v>3.5</c:v>
                </c:pt>
                <c:pt idx="1">
                  <c:v>3.5</c:v>
                </c:pt>
                <c:pt idx="3">
                  <c:v>6.5</c:v>
                </c:pt>
                <c:pt idx="4">
                  <c:v>6.5</c:v>
                </c:pt>
              </c:numCache>
            </c:numRef>
          </c:xVal>
          <c:yVal>
            <c:numRef>
              <c:f>'Session by Session'!$Y$2:$Y$6</c:f>
              <c:numCache>
                <c:formatCode>General</c:formatCode>
                <c:ptCount val="5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3D-4236-A1B4-12D7BB1A6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14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Responses</a:t>
                </a:r>
                <a:r>
                  <a:rPr lang="en-US" baseline="0"/>
                  <a:t> Per Minute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yVal>
            <c:numRef>
              <c:f>'Session by Session'!$L$3:$L$11</c:f>
              <c:numCache>
                <c:formatCode>General</c:formatCode>
                <c:ptCount val="9"/>
                <c:pt idx="0">
                  <c:v>30</c:v>
                </c:pt>
                <c:pt idx="1">
                  <c:v>13</c:v>
                </c:pt>
                <c:pt idx="2">
                  <c:v>22</c:v>
                </c:pt>
                <c:pt idx="3">
                  <c:v>44</c:v>
                </c:pt>
                <c:pt idx="4">
                  <c:v>42</c:v>
                </c:pt>
                <c:pt idx="5">
                  <c:v>57</c:v>
                </c:pt>
                <c:pt idx="6">
                  <c:v>74</c:v>
                </c:pt>
                <c:pt idx="7">
                  <c:v>3</c:v>
                </c:pt>
                <c:pt idx="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6-4ADC-A94A-8D25F6295308}"/>
            </c:ext>
          </c:extLst>
        </c:ser>
        <c:ser>
          <c:idx val="1"/>
          <c:order val="1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'Session by Session'!$X$2:$X$6</c:f>
              <c:numCache>
                <c:formatCode>General</c:formatCode>
                <c:ptCount val="5"/>
                <c:pt idx="0">
                  <c:v>3.5</c:v>
                </c:pt>
                <c:pt idx="1">
                  <c:v>3.5</c:v>
                </c:pt>
                <c:pt idx="3">
                  <c:v>6.5</c:v>
                </c:pt>
                <c:pt idx="4">
                  <c:v>6.5</c:v>
                </c:pt>
              </c:numCache>
            </c:numRef>
          </c:xVal>
          <c:yVal>
            <c:numRef>
              <c:f>'Session by Session'!$Y$2:$Y$6</c:f>
              <c:numCache>
                <c:formatCode>General</c:formatCode>
                <c:ptCount val="5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6-4ADC-A94A-8D25F6295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14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Asteroids</c:v>
          </c:tx>
          <c:spPr>
            <a:ln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yVal>
            <c:numRef>
              <c:f>'Session by Session'!$L$3:$L$11</c:f>
              <c:numCache>
                <c:formatCode>General</c:formatCode>
                <c:ptCount val="9"/>
                <c:pt idx="0">
                  <c:v>30</c:v>
                </c:pt>
                <c:pt idx="1">
                  <c:v>13</c:v>
                </c:pt>
                <c:pt idx="2">
                  <c:v>22</c:v>
                </c:pt>
                <c:pt idx="3">
                  <c:v>44</c:v>
                </c:pt>
                <c:pt idx="4">
                  <c:v>42</c:v>
                </c:pt>
                <c:pt idx="5">
                  <c:v>57</c:v>
                </c:pt>
                <c:pt idx="6">
                  <c:v>74</c:v>
                </c:pt>
                <c:pt idx="7">
                  <c:v>3</c:v>
                </c:pt>
                <c:pt idx="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3B-47E5-92ED-27ECDB53EF6D}"/>
            </c:ext>
          </c:extLst>
        </c:ser>
        <c:ser>
          <c:idx val="1"/>
          <c:order val="1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'Session by Session'!$X$2:$X$6</c:f>
              <c:numCache>
                <c:formatCode>General</c:formatCode>
                <c:ptCount val="5"/>
                <c:pt idx="0">
                  <c:v>3.5</c:v>
                </c:pt>
                <c:pt idx="1">
                  <c:v>3.5</c:v>
                </c:pt>
                <c:pt idx="3">
                  <c:v>6.5</c:v>
                </c:pt>
                <c:pt idx="4">
                  <c:v>6.5</c:v>
                </c:pt>
              </c:numCache>
            </c:numRef>
          </c:xVal>
          <c:yVal>
            <c:numRef>
              <c:f>'Session by Session'!$Y$2:$Y$6</c:f>
              <c:numCache>
                <c:formatCode>General</c:formatCode>
                <c:ptCount val="5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3B-47E5-92ED-27ECDB53EF6D}"/>
            </c:ext>
          </c:extLst>
        </c:ser>
        <c:ser>
          <c:idx val="2"/>
          <c:order val="2"/>
          <c:tx>
            <c:v>Barrell Roll</c:v>
          </c:tx>
          <c:yVal>
            <c:numRef>
              <c:f>'Session by Session'!$M$3:$M$11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3B-47E5-92ED-27ECDB53EF6D}"/>
            </c:ext>
          </c:extLst>
        </c:ser>
        <c:ser>
          <c:idx val="3"/>
          <c:order val="3"/>
          <c:tx>
            <c:v>Spins</c:v>
          </c:tx>
          <c:yVal>
            <c:numRef>
              <c:f>'Session by Session'!$N$3:$N$11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3B-47E5-92ED-27ECDB53EF6D}"/>
            </c:ext>
          </c:extLst>
        </c:ser>
        <c:ser>
          <c:idx val="4"/>
          <c:order val="4"/>
          <c:tx>
            <c:v>Turbo</c:v>
          </c:tx>
          <c:yVal>
            <c:numRef>
              <c:f>'Session by Session'!$O$3:$O$11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3B-47E5-92ED-27ECDB53EF6D}"/>
            </c:ext>
          </c:extLst>
        </c:ser>
        <c:ser>
          <c:idx val="5"/>
          <c:order val="5"/>
          <c:tx>
            <c:v>Coin_Boost</c:v>
          </c:tx>
          <c:yVal>
            <c:numRef>
              <c:f>'Session by Session'!$P$3:$P$11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3B-47E5-92ED-27ECDB53EF6D}"/>
            </c:ext>
          </c:extLst>
        </c:ser>
        <c:ser>
          <c:idx val="6"/>
          <c:order val="6"/>
          <c:tx>
            <c:v>Flames</c:v>
          </c:tx>
          <c:yVal>
            <c:numRef>
              <c:f>'Session by Session'!$Q$3:$Q$11</c:f>
              <c:numCache>
                <c:formatCode>General</c:formatCode>
                <c:ptCount val="9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3B-47E5-92ED-27ECDB53EF6D}"/>
            </c:ext>
          </c:extLst>
        </c:ser>
        <c:ser>
          <c:idx val="7"/>
          <c:order val="7"/>
          <c:tx>
            <c:v>Gem_Color_Change</c:v>
          </c:tx>
          <c:yVal>
            <c:numRef>
              <c:f>'Session by Session'!$U$3:$U$11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23B-47E5-92ED-27ECDB53E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8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 zoomToFit="1"/>
  </sheetViews>
  <pageMargins left="0.75" right="0.75" top="1" bottom="1" header="0.5" footer="0.5"/>
  <pageSetup orientation="landscape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91" workbookViewId="0" zoomToFit="1"/>
  </sheetViews>
  <pageMargins left="0.75" right="0.75" top="1" bottom="1" header="0.5" footer="0.5"/>
  <pageSetup orientation="landscape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zoomScale="90" workbookViewId="0" zoomToFit="1"/>
  </sheetViews>
  <pageMargins left="0.75" right="0.75" top="1" bottom="1" header="0.5" footer="0.5"/>
  <pageSetup orientation="landscape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305C12-67CE-4C97-8C48-58E0E3DE31ED}">
  <sheetPr/>
  <sheetViews>
    <sheetView tabSelected="1" zoomScale="90" workbookViewId="0" zoomToFit="1"/>
  </sheetViews>
  <pageMargins left="0.75" right="0.75" top="1" bottom="1" header="0.5" footer="0.5"/>
  <pageSetup orientation="landscape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706100" cy="7277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4593" cy="58280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6733" cy="58335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6733" cy="58335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9CEFC-0EA9-788B-DFB6-1879B2E01C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L74"/>
  <sheetViews>
    <sheetView topLeftCell="A37" workbookViewId="0">
      <selection activeCell="G53" sqref="G53"/>
    </sheetView>
  </sheetViews>
  <sheetFormatPr defaultRowHeight="14.4" x14ac:dyDescent="0.3"/>
  <cols>
    <col min="1" max="1" width="14.33203125" style="15" bestFit="1" customWidth="1"/>
    <col min="2" max="2" width="22.21875" style="15" bestFit="1" customWidth="1"/>
    <col min="3" max="3" width="23.77734375" style="15" bestFit="1" customWidth="1"/>
    <col min="4" max="4" width="3.109375" style="15" customWidth="1"/>
    <col min="5" max="9" width="16.21875" style="15" customWidth="1"/>
    <col min="10" max="10" width="6.77734375" style="7" customWidth="1"/>
    <col min="11" max="11" width="28.44140625" style="15" bestFit="1" customWidth="1"/>
    <col min="12" max="12" width="3.5546875" style="15" customWidth="1"/>
    <col min="13" max="13" width="28.5546875" style="15" bestFit="1" customWidth="1"/>
    <col min="14" max="14" width="14.77734375" style="15" bestFit="1" customWidth="1"/>
    <col min="17" max="17" width="10.5546875" style="15" bestFit="1" customWidth="1"/>
    <col min="18" max="21" width="10.5546875" style="15" customWidth="1"/>
    <col min="24" max="24" width="12.44140625" style="15" bestFit="1" customWidth="1"/>
  </cols>
  <sheetData>
    <row r="1" spans="1:38" x14ac:dyDescent="0.3">
      <c r="A1" s="16" t="s">
        <v>0</v>
      </c>
      <c r="B1" s="17"/>
      <c r="C1" s="17"/>
    </row>
    <row r="2" spans="1:38" x14ac:dyDescent="0.3">
      <c r="A2" s="17"/>
      <c r="B2" s="17"/>
      <c r="C2" s="17"/>
    </row>
    <row r="3" spans="1:38" x14ac:dyDescent="0.3">
      <c r="A3" s="17"/>
      <c r="B3" s="17"/>
      <c r="C3" s="17"/>
    </row>
    <row r="4" spans="1:38" x14ac:dyDescent="0.3">
      <c r="A4" s="17"/>
      <c r="B4" s="17"/>
      <c r="C4" s="17"/>
      <c r="K4" s="6" t="s">
        <v>1</v>
      </c>
      <c r="M4" s="6" t="s">
        <v>2</v>
      </c>
    </row>
    <row r="5" spans="1:38" x14ac:dyDescent="0.3">
      <c r="A5" s="18"/>
      <c r="B5" s="18"/>
      <c r="C5" s="18"/>
      <c r="K5" s="11"/>
      <c r="M5" s="11"/>
    </row>
    <row r="6" spans="1:38" x14ac:dyDescent="0.3">
      <c r="A6" s="2" t="s">
        <v>3</v>
      </c>
      <c r="B6" s="6" t="s">
        <v>4</v>
      </c>
      <c r="C6" s="3"/>
      <c r="E6" s="13" t="s">
        <v>5</v>
      </c>
      <c r="F6" s="13" t="s">
        <v>6</v>
      </c>
      <c r="G6" s="13" t="s">
        <v>7</v>
      </c>
      <c r="H6" s="13" t="s">
        <v>6</v>
      </c>
      <c r="I6" s="13" t="s">
        <v>7</v>
      </c>
    </row>
    <row r="7" spans="1:38" x14ac:dyDescent="0.3">
      <c r="A7" s="2" t="s">
        <v>8</v>
      </c>
      <c r="B7" s="6" t="s">
        <v>4</v>
      </c>
      <c r="C7" s="4" t="s">
        <v>9</v>
      </c>
      <c r="F7" t="s">
        <v>10</v>
      </c>
      <c r="G7" s="11">
        <v>3</v>
      </c>
      <c r="H7" t="s">
        <v>11</v>
      </c>
      <c r="I7" s="11">
        <v>2</v>
      </c>
    </row>
    <row r="8" spans="1:38" x14ac:dyDescent="0.3">
      <c r="A8" s="2" t="s">
        <v>12</v>
      </c>
      <c r="B8" s="6">
        <v>1</v>
      </c>
      <c r="C8" s="1">
        <f>B9</f>
        <v>28</v>
      </c>
      <c r="E8" s="12" t="s">
        <v>5</v>
      </c>
      <c r="F8" s="13" t="s">
        <v>13</v>
      </c>
      <c r="G8" s="14">
        <v>2</v>
      </c>
      <c r="H8" s="13" t="s">
        <v>14</v>
      </c>
      <c r="I8" s="14">
        <v>0</v>
      </c>
    </row>
    <row r="9" spans="1:38" x14ac:dyDescent="0.3">
      <c r="A9" s="2" t="s">
        <v>15</v>
      </c>
      <c r="B9" s="9">
        <v>28</v>
      </c>
      <c r="C9" s="4"/>
      <c r="E9" s="12" t="s">
        <v>16</v>
      </c>
      <c r="F9" s="13" t="s">
        <v>17</v>
      </c>
      <c r="G9" s="14">
        <v>0</v>
      </c>
      <c r="H9" s="13" t="s">
        <v>18</v>
      </c>
      <c r="I9" s="14">
        <v>0</v>
      </c>
    </row>
    <row r="10" spans="1:38" x14ac:dyDescent="0.3">
      <c r="A10" s="2" t="s">
        <v>19</v>
      </c>
      <c r="B10" s="9">
        <v>30</v>
      </c>
      <c r="C10" s="4" t="s">
        <v>20</v>
      </c>
      <c r="E10" s="12" t="s">
        <v>16</v>
      </c>
      <c r="F10" s="13" t="s">
        <v>21</v>
      </c>
      <c r="G10" s="14">
        <v>2</v>
      </c>
      <c r="H10" s="13" t="s">
        <v>22</v>
      </c>
      <c r="I10" s="14">
        <v>1</v>
      </c>
    </row>
    <row r="11" spans="1:38" x14ac:dyDescent="0.3">
      <c r="A11" s="2" t="s">
        <v>23</v>
      </c>
      <c r="B11" s="9">
        <v>45</v>
      </c>
      <c r="C11" s="1">
        <f>((B11/5))</f>
        <v>9</v>
      </c>
      <c r="E11" s="12" t="s">
        <v>16</v>
      </c>
      <c r="F11" s="13"/>
      <c r="G11" s="13"/>
      <c r="H11" s="13" t="s">
        <v>24</v>
      </c>
      <c r="I11" s="14">
        <v>63</v>
      </c>
      <c r="AI11" t="s">
        <v>25</v>
      </c>
      <c r="AJ11" t="s">
        <v>26</v>
      </c>
      <c r="AK11" t="s">
        <v>27</v>
      </c>
      <c r="AL11" t="s">
        <v>28</v>
      </c>
    </row>
    <row r="12" spans="1:38" x14ac:dyDescent="0.3">
      <c r="E12" s="13"/>
      <c r="F12" s="13"/>
      <c r="G12" s="13"/>
      <c r="H12" s="13"/>
      <c r="I12" s="13"/>
    </row>
    <row r="13" spans="1:38" x14ac:dyDescent="0.3">
      <c r="A13" s="2" t="s">
        <v>3</v>
      </c>
      <c r="B13" s="6" t="s">
        <v>4</v>
      </c>
      <c r="C13" s="3"/>
      <c r="F13" s="13" t="s">
        <v>6</v>
      </c>
      <c r="G13" s="13" t="s">
        <v>7</v>
      </c>
      <c r="H13" s="13" t="s">
        <v>6</v>
      </c>
      <c r="I13" s="13" t="s">
        <v>7</v>
      </c>
      <c r="AH13">
        <v>2</v>
      </c>
      <c r="AI13">
        <v>0.28799999999999998</v>
      </c>
      <c r="AJ13">
        <v>1.9920948616600791</v>
      </c>
      <c r="AK13">
        <v>0.31034482758620691</v>
      </c>
      <c r="AL13">
        <v>5.1724137931034489E-2</v>
      </c>
    </row>
    <row r="14" spans="1:38" x14ac:dyDescent="0.3">
      <c r="A14" s="2" t="s">
        <v>8</v>
      </c>
      <c r="B14" s="6" t="s">
        <v>4</v>
      </c>
      <c r="C14" s="4" t="s">
        <v>9</v>
      </c>
      <c r="F14" t="s">
        <v>10</v>
      </c>
      <c r="G14" s="11">
        <v>3</v>
      </c>
      <c r="H14" t="s">
        <v>11</v>
      </c>
      <c r="I14" s="11">
        <v>0</v>
      </c>
      <c r="AH14">
        <v>3</v>
      </c>
      <c r="AI14">
        <v>0.192</v>
      </c>
      <c r="AJ14">
        <v>0.45059288537549408</v>
      </c>
      <c r="AK14">
        <v>7.7586206896551727E-2</v>
      </c>
      <c r="AL14">
        <v>2.5862068965517241E-2</v>
      </c>
    </row>
    <row r="15" spans="1:38" x14ac:dyDescent="0.3">
      <c r="A15" s="2" t="s">
        <v>12</v>
      </c>
      <c r="B15" s="6">
        <f>B8+1</f>
        <v>2</v>
      </c>
      <c r="C15" s="1">
        <f>B16</f>
        <v>24</v>
      </c>
      <c r="E15" s="12" t="s">
        <v>5</v>
      </c>
      <c r="F15" s="13" t="s">
        <v>13</v>
      </c>
      <c r="G15" s="14">
        <v>2</v>
      </c>
      <c r="H15" s="13" t="s">
        <v>14</v>
      </c>
      <c r="I15" s="14">
        <v>1</v>
      </c>
    </row>
    <row r="16" spans="1:38" x14ac:dyDescent="0.3">
      <c r="A16" s="2" t="s">
        <v>15</v>
      </c>
      <c r="B16" s="9">
        <v>24</v>
      </c>
      <c r="E16" s="12" t="s">
        <v>16</v>
      </c>
      <c r="F16" s="13" t="s">
        <v>17</v>
      </c>
      <c r="G16" s="14">
        <v>1</v>
      </c>
      <c r="H16" s="13" t="s">
        <v>18</v>
      </c>
      <c r="I16" s="14">
        <v>1</v>
      </c>
      <c r="AH16" t="s">
        <v>29</v>
      </c>
      <c r="AI16">
        <v>-0.67200000000000004</v>
      </c>
      <c r="AJ16">
        <v>-0.65217391304347827</v>
      </c>
      <c r="AK16">
        <v>-0.86637931034482762</v>
      </c>
      <c r="AL16">
        <v>-6.4655172413793108E-2</v>
      </c>
    </row>
    <row r="17" spans="1:38" x14ac:dyDescent="0.3">
      <c r="A17" s="2" t="s">
        <v>19</v>
      </c>
      <c r="B17" s="9">
        <v>13</v>
      </c>
      <c r="C17" s="4" t="s">
        <v>20</v>
      </c>
      <c r="E17" s="12" t="s">
        <v>16</v>
      </c>
      <c r="F17" s="13" t="s">
        <v>21</v>
      </c>
      <c r="G17" s="14">
        <v>1</v>
      </c>
      <c r="H17" s="13" t="s">
        <v>22</v>
      </c>
      <c r="I17" s="14">
        <v>1</v>
      </c>
    </row>
    <row r="18" spans="1:38" x14ac:dyDescent="0.3">
      <c r="A18" s="2" t="s">
        <v>23</v>
      </c>
      <c r="B18" s="9">
        <v>75</v>
      </c>
      <c r="C18" s="1">
        <f>(((B18-B11)/5))</f>
        <v>6</v>
      </c>
      <c r="D18">
        <f>B18/5</f>
        <v>15</v>
      </c>
      <c r="E18" s="12" t="s">
        <v>16</v>
      </c>
      <c r="F18" s="13"/>
      <c r="G18" s="13"/>
      <c r="H18" s="13" t="s">
        <v>24</v>
      </c>
      <c r="I18" s="14">
        <v>0</v>
      </c>
      <c r="AH18" t="s">
        <v>30</v>
      </c>
      <c r="AI18">
        <v>3</v>
      </c>
      <c r="AJ18">
        <v>3</v>
      </c>
      <c r="AK18">
        <v>3</v>
      </c>
      <c r="AL18">
        <v>3</v>
      </c>
    </row>
    <row r="19" spans="1:38" x14ac:dyDescent="0.3">
      <c r="AH19" t="s">
        <v>31</v>
      </c>
      <c r="AI19">
        <v>0.47030203061437009</v>
      </c>
      <c r="AJ19">
        <v>0.72613332295944011</v>
      </c>
      <c r="AK19">
        <v>0.51734912670851629</v>
      </c>
      <c r="AL19">
        <v>3.1674436329092788E-2</v>
      </c>
    </row>
    <row r="20" spans="1:38" x14ac:dyDescent="0.3">
      <c r="A20" s="2" t="s">
        <v>3</v>
      </c>
      <c r="B20" s="6" t="s">
        <v>4</v>
      </c>
      <c r="C20" s="3"/>
      <c r="F20" s="13" t="s">
        <v>6</v>
      </c>
      <c r="G20" s="13" t="s">
        <v>7</v>
      </c>
      <c r="H20" s="13" t="s">
        <v>6</v>
      </c>
      <c r="I20" s="13" t="s">
        <v>7</v>
      </c>
      <c r="AH20" t="s">
        <v>32</v>
      </c>
      <c r="AI20">
        <v>0.33255375505322438</v>
      </c>
      <c r="AJ20">
        <v>0.51345379671014146</v>
      </c>
      <c r="AK20">
        <v>0.36582107573653028</v>
      </c>
      <c r="AL20">
        <v>2.2397208718563041E-2</v>
      </c>
    </row>
    <row r="21" spans="1:38" x14ac:dyDescent="0.3">
      <c r="A21" s="2" t="s">
        <v>8</v>
      </c>
      <c r="B21" s="6" t="s">
        <v>4</v>
      </c>
      <c r="C21" s="4" t="s">
        <v>9</v>
      </c>
      <c r="F21" t="s">
        <v>10</v>
      </c>
      <c r="G21" s="11">
        <v>3</v>
      </c>
      <c r="H21" t="s">
        <v>11</v>
      </c>
      <c r="I21" s="11">
        <v>1</v>
      </c>
      <c r="AI21" t="s">
        <v>33</v>
      </c>
      <c r="AJ21">
        <v>1.9826086956521771E-2</v>
      </c>
      <c r="AK21" t="s">
        <v>33</v>
      </c>
      <c r="AL21">
        <v>0.80172413793103448</v>
      </c>
    </row>
    <row r="22" spans="1:38" x14ac:dyDescent="0.3">
      <c r="A22" s="2" t="s">
        <v>12</v>
      </c>
      <c r="B22" s="6">
        <f>B15+1</f>
        <v>3</v>
      </c>
      <c r="C22" s="1">
        <f>B23</f>
        <v>11</v>
      </c>
      <c r="E22" s="12" t="s">
        <v>5</v>
      </c>
      <c r="F22" s="13" t="s">
        <v>13</v>
      </c>
      <c r="G22" s="14">
        <v>2</v>
      </c>
      <c r="H22" s="13" t="s">
        <v>14</v>
      </c>
      <c r="I22" s="14">
        <v>0</v>
      </c>
      <c r="AI22" t="s">
        <v>34</v>
      </c>
      <c r="AJ22">
        <v>0.61174079588994168</v>
      </c>
      <c r="AK22" t="s">
        <v>34</v>
      </c>
      <c r="AL22">
        <v>0.36650606326691942</v>
      </c>
    </row>
    <row r="23" spans="1:38" x14ac:dyDescent="0.3">
      <c r="A23" s="2" t="s">
        <v>15</v>
      </c>
      <c r="B23" s="9">
        <v>11</v>
      </c>
      <c r="E23" s="12" t="s">
        <v>16</v>
      </c>
      <c r="F23" s="13" t="s">
        <v>17</v>
      </c>
      <c r="G23" s="14">
        <v>1</v>
      </c>
      <c r="H23" s="13" t="s">
        <v>18</v>
      </c>
      <c r="I23" s="14">
        <v>0</v>
      </c>
      <c r="AI23" t="s">
        <v>35</v>
      </c>
      <c r="AJ23">
        <v>3.240929342905665E-2</v>
      </c>
      <c r="AK23" t="s">
        <v>35</v>
      </c>
      <c r="AL23">
        <v>2.187478512046209</v>
      </c>
    </row>
    <row r="24" spans="1:38" x14ac:dyDescent="0.3">
      <c r="A24" s="2" t="s">
        <v>19</v>
      </c>
      <c r="B24" s="9">
        <v>22</v>
      </c>
      <c r="C24" s="4" t="s">
        <v>20</v>
      </c>
      <c r="E24" s="12" t="s">
        <v>16</v>
      </c>
      <c r="F24" s="13" t="s">
        <v>21</v>
      </c>
      <c r="G24" s="14">
        <v>0</v>
      </c>
      <c r="H24" s="13" t="s">
        <v>22</v>
      </c>
      <c r="I24" s="14">
        <v>0</v>
      </c>
    </row>
    <row r="25" spans="1:38" x14ac:dyDescent="0.3">
      <c r="A25" s="2" t="s">
        <v>23</v>
      </c>
      <c r="B25" s="9">
        <v>95</v>
      </c>
      <c r="C25" s="1">
        <f>(((B25-B18)/5))</f>
        <v>4</v>
      </c>
      <c r="D25">
        <f>B25/5</f>
        <v>19</v>
      </c>
      <c r="E25" s="12" t="s">
        <v>16</v>
      </c>
      <c r="F25" s="13"/>
      <c r="G25" s="13"/>
      <c r="H25" s="13" t="s">
        <v>24</v>
      </c>
      <c r="I25" s="14">
        <v>18</v>
      </c>
      <c r="AI25" t="s">
        <v>36</v>
      </c>
      <c r="AJ25">
        <v>4</v>
      </c>
      <c r="AK25" t="s">
        <v>36</v>
      </c>
      <c r="AL25">
        <v>4</v>
      </c>
    </row>
    <row r="26" spans="1:38" x14ac:dyDescent="0.3">
      <c r="AI26" t="s">
        <v>37</v>
      </c>
      <c r="AJ26">
        <v>0.97569834744644501</v>
      </c>
      <c r="AK26" t="s">
        <v>37</v>
      </c>
      <c r="AL26">
        <v>9.3956211780278492E-2</v>
      </c>
    </row>
    <row r="27" spans="1:38" x14ac:dyDescent="0.3">
      <c r="A27" s="2" t="s">
        <v>3</v>
      </c>
      <c r="B27" s="6" t="s">
        <v>38</v>
      </c>
      <c r="C27" s="3"/>
      <c r="F27" s="13" t="s">
        <v>6</v>
      </c>
      <c r="G27" s="13" t="s">
        <v>7</v>
      </c>
      <c r="H27" s="13" t="s">
        <v>6</v>
      </c>
      <c r="I27" s="13" t="s">
        <v>7</v>
      </c>
    </row>
    <row r="28" spans="1:38" x14ac:dyDescent="0.3">
      <c r="A28" s="2" t="s">
        <v>8</v>
      </c>
      <c r="B28" s="6" t="s">
        <v>38</v>
      </c>
      <c r="C28" s="4" t="s">
        <v>9</v>
      </c>
      <c r="F28" t="s">
        <v>10</v>
      </c>
      <c r="G28" s="11">
        <v>4</v>
      </c>
      <c r="H28" t="s">
        <v>11</v>
      </c>
      <c r="I28" s="11">
        <v>1</v>
      </c>
    </row>
    <row r="29" spans="1:38" x14ac:dyDescent="0.3">
      <c r="A29" s="2" t="s">
        <v>12</v>
      </c>
      <c r="B29" s="6">
        <f>B22+1</f>
        <v>4</v>
      </c>
      <c r="C29" s="1">
        <f>B30</f>
        <v>5</v>
      </c>
      <c r="E29" s="12" t="s">
        <v>5</v>
      </c>
      <c r="F29" s="13" t="s">
        <v>13</v>
      </c>
      <c r="G29" s="14">
        <v>2</v>
      </c>
      <c r="H29" s="13" t="s">
        <v>14</v>
      </c>
      <c r="I29" s="14">
        <v>0</v>
      </c>
    </row>
    <row r="30" spans="1:38" x14ac:dyDescent="0.3">
      <c r="A30" s="2" t="s">
        <v>15</v>
      </c>
      <c r="B30" s="9">
        <v>5</v>
      </c>
      <c r="E30" s="12" t="s">
        <v>16</v>
      </c>
      <c r="F30" s="13" t="s">
        <v>17</v>
      </c>
      <c r="G30" s="14">
        <v>0</v>
      </c>
      <c r="H30" s="13" t="s">
        <v>18</v>
      </c>
      <c r="I30" s="14">
        <v>0</v>
      </c>
    </row>
    <row r="31" spans="1:38" x14ac:dyDescent="0.3">
      <c r="A31" s="2" t="s">
        <v>39</v>
      </c>
      <c r="B31" s="9">
        <v>27</v>
      </c>
      <c r="C31" s="1">
        <f>B31</f>
        <v>27</v>
      </c>
      <c r="E31" s="12" t="s">
        <v>16</v>
      </c>
      <c r="F31" s="13" t="s">
        <v>21</v>
      </c>
      <c r="G31" s="14">
        <v>2</v>
      </c>
      <c r="H31" s="13" t="s">
        <v>22</v>
      </c>
      <c r="I31" s="14">
        <v>1</v>
      </c>
    </row>
    <row r="32" spans="1:38" x14ac:dyDescent="0.3">
      <c r="A32" s="2" t="s">
        <v>19</v>
      </c>
      <c r="B32" s="9">
        <v>44</v>
      </c>
      <c r="C32" s="4" t="s">
        <v>20</v>
      </c>
      <c r="E32" s="12" t="s">
        <v>16</v>
      </c>
      <c r="F32" s="13"/>
      <c r="G32" s="13"/>
      <c r="H32" s="13" t="s">
        <v>24</v>
      </c>
      <c r="I32" s="14">
        <v>1</v>
      </c>
    </row>
    <row r="33" spans="1:9" x14ac:dyDescent="0.3">
      <c r="A33" s="2" t="s">
        <v>23</v>
      </c>
      <c r="B33" s="9">
        <v>145</v>
      </c>
      <c r="C33" s="1">
        <f>(((B33-B25)/5)/2)</f>
        <v>5</v>
      </c>
      <c r="D33">
        <f>B33/5</f>
        <v>29</v>
      </c>
      <c r="E33" s="12" t="s">
        <v>16</v>
      </c>
      <c r="F33" s="13"/>
      <c r="G33" s="13"/>
      <c r="H33" s="13"/>
      <c r="I33" s="13"/>
    </row>
    <row r="34" spans="1:9" x14ac:dyDescent="0.3">
      <c r="A34" s="6"/>
      <c r="B34" s="6"/>
      <c r="C34" s="6"/>
    </row>
    <row r="35" spans="1:9" x14ac:dyDescent="0.3">
      <c r="A35" s="2" t="s">
        <v>3</v>
      </c>
      <c r="B35" s="6" t="s">
        <v>38</v>
      </c>
      <c r="C35" s="3"/>
      <c r="F35" s="13" t="s">
        <v>6</v>
      </c>
      <c r="G35" s="13" t="s">
        <v>7</v>
      </c>
      <c r="H35" s="13" t="s">
        <v>6</v>
      </c>
      <c r="I35" s="13" t="s">
        <v>7</v>
      </c>
    </row>
    <row r="36" spans="1:9" x14ac:dyDescent="0.3">
      <c r="A36" s="2" t="s">
        <v>8</v>
      </c>
      <c r="B36" s="6" t="s">
        <v>38</v>
      </c>
      <c r="C36" s="4" t="s">
        <v>9</v>
      </c>
      <c r="F36" t="s">
        <v>10</v>
      </c>
      <c r="G36" s="11">
        <v>2</v>
      </c>
      <c r="H36" t="s">
        <v>11</v>
      </c>
      <c r="I36" s="11">
        <v>0</v>
      </c>
    </row>
    <row r="37" spans="1:9" x14ac:dyDescent="0.3">
      <c r="A37" s="2" t="s">
        <v>12</v>
      </c>
      <c r="B37" s="6">
        <f>B29+1</f>
        <v>5</v>
      </c>
      <c r="C37" s="1">
        <f>B38</f>
        <v>0</v>
      </c>
      <c r="E37" s="12" t="s">
        <v>5</v>
      </c>
      <c r="F37" s="13" t="s">
        <v>13</v>
      </c>
      <c r="G37" s="14">
        <v>0</v>
      </c>
      <c r="H37" s="13" t="s">
        <v>14</v>
      </c>
      <c r="I37" s="14">
        <v>1</v>
      </c>
    </row>
    <row r="38" spans="1:9" x14ac:dyDescent="0.3">
      <c r="A38" s="2" t="s">
        <v>15</v>
      </c>
      <c r="B38" s="9">
        <v>0</v>
      </c>
      <c r="E38" s="12" t="s">
        <v>16</v>
      </c>
      <c r="F38" s="13" t="s">
        <v>17</v>
      </c>
      <c r="G38" s="14">
        <v>2</v>
      </c>
      <c r="H38" s="13" t="s">
        <v>18</v>
      </c>
      <c r="I38" s="14">
        <v>0</v>
      </c>
    </row>
    <row r="39" spans="1:9" x14ac:dyDescent="0.3">
      <c r="A39" s="2" t="s">
        <v>40</v>
      </c>
      <c r="B39" s="9">
        <v>41</v>
      </c>
      <c r="C39" s="1">
        <f>B39</f>
        <v>41</v>
      </c>
      <c r="E39" s="12" t="s">
        <v>16</v>
      </c>
      <c r="F39" s="13" t="s">
        <v>21</v>
      </c>
      <c r="G39" s="14">
        <v>2</v>
      </c>
      <c r="H39" s="13" t="s">
        <v>22</v>
      </c>
      <c r="I39" s="14">
        <v>0</v>
      </c>
    </row>
    <row r="40" spans="1:9" x14ac:dyDescent="0.3">
      <c r="A40" s="2" t="s">
        <v>19</v>
      </c>
      <c r="B40" s="9">
        <v>42</v>
      </c>
      <c r="C40" s="4" t="s">
        <v>20</v>
      </c>
      <c r="E40" s="12" t="s">
        <v>16</v>
      </c>
      <c r="F40" s="13"/>
      <c r="G40" s="13"/>
      <c r="H40" s="13" t="s">
        <v>24</v>
      </c>
      <c r="I40" s="14">
        <v>3</v>
      </c>
    </row>
    <row r="41" spans="1:9" x14ac:dyDescent="0.3">
      <c r="A41" s="2" t="s">
        <v>23</v>
      </c>
      <c r="B41" s="9">
        <v>190</v>
      </c>
      <c r="C41" s="1">
        <f>(((B41-B33)/5)/2)</f>
        <v>4.5</v>
      </c>
      <c r="D41">
        <f>B41/5</f>
        <v>38</v>
      </c>
      <c r="E41" s="12" t="s">
        <v>16</v>
      </c>
      <c r="F41" s="13"/>
      <c r="G41" s="13"/>
      <c r="H41" s="13"/>
      <c r="I41" s="13"/>
    </row>
    <row r="42" spans="1:9" x14ac:dyDescent="0.3">
      <c r="A42" s="6"/>
      <c r="B42" s="6"/>
      <c r="C42" s="6"/>
    </row>
    <row r="43" spans="1:9" x14ac:dyDescent="0.3">
      <c r="A43" s="6"/>
      <c r="B43" s="6"/>
      <c r="C43" s="6"/>
    </row>
    <row r="44" spans="1:9" x14ac:dyDescent="0.3">
      <c r="A44" s="2" t="s">
        <v>3</v>
      </c>
      <c r="B44" s="6" t="s">
        <v>38</v>
      </c>
      <c r="C44" s="4" t="s">
        <v>41</v>
      </c>
      <c r="F44" s="13" t="s">
        <v>6</v>
      </c>
      <c r="G44" s="13" t="s">
        <v>7</v>
      </c>
      <c r="H44" s="13" t="s">
        <v>6</v>
      </c>
      <c r="I44" s="13" t="s">
        <v>7</v>
      </c>
    </row>
    <row r="45" spans="1:9" x14ac:dyDescent="0.3">
      <c r="A45" s="2" t="s">
        <v>8</v>
      </c>
      <c r="B45" s="6" t="s">
        <v>38</v>
      </c>
      <c r="C45" s="3"/>
      <c r="F45" t="s">
        <v>10</v>
      </c>
      <c r="G45" s="11">
        <v>3</v>
      </c>
      <c r="H45" t="s">
        <v>11</v>
      </c>
      <c r="I45" s="11">
        <v>1</v>
      </c>
    </row>
    <row r="46" spans="1:9" x14ac:dyDescent="0.3">
      <c r="A46" s="2" t="s">
        <v>12</v>
      </c>
      <c r="B46" s="6">
        <f>B37+1</f>
        <v>6</v>
      </c>
      <c r="C46" s="5"/>
      <c r="E46" s="12" t="s">
        <v>5</v>
      </c>
      <c r="F46" s="13" t="s">
        <v>13</v>
      </c>
      <c r="G46" s="14">
        <v>2</v>
      </c>
      <c r="H46" s="13" t="s">
        <v>14</v>
      </c>
      <c r="I46" s="14">
        <v>0</v>
      </c>
    </row>
    <row r="47" spans="1:9" x14ac:dyDescent="0.3">
      <c r="A47" s="2" t="s">
        <v>15</v>
      </c>
      <c r="B47" s="9">
        <v>0</v>
      </c>
      <c r="C47" s="1">
        <f>B47</f>
        <v>0</v>
      </c>
      <c r="E47" s="12" t="s">
        <v>16</v>
      </c>
      <c r="F47" s="13" t="s">
        <v>17</v>
      </c>
      <c r="G47" s="14">
        <v>1</v>
      </c>
      <c r="H47" s="13" t="s">
        <v>18</v>
      </c>
      <c r="I47" s="14">
        <v>0</v>
      </c>
    </row>
    <row r="48" spans="1:9" x14ac:dyDescent="0.3">
      <c r="A48" s="2" t="s">
        <v>42</v>
      </c>
      <c r="B48" s="9">
        <v>34</v>
      </c>
      <c r="C48" s="1">
        <f>B48</f>
        <v>34</v>
      </c>
      <c r="E48" s="12" t="s">
        <v>16</v>
      </c>
      <c r="F48" s="13" t="s">
        <v>21</v>
      </c>
      <c r="G48" s="14">
        <v>1</v>
      </c>
      <c r="H48" s="13" t="s">
        <v>22</v>
      </c>
      <c r="I48" s="14">
        <v>0</v>
      </c>
    </row>
    <row r="49" spans="1:9" x14ac:dyDescent="0.3">
      <c r="A49" s="2" t="s">
        <v>19</v>
      </c>
      <c r="B49" s="9">
        <v>57</v>
      </c>
      <c r="C49" s="1"/>
      <c r="E49" s="12" t="s">
        <v>16</v>
      </c>
      <c r="F49" s="13"/>
      <c r="G49" s="13"/>
      <c r="H49" s="13" t="s">
        <v>24</v>
      </c>
      <c r="I49" s="14">
        <v>120</v>
      </c>
    </row>
    <row r="50" spans="1:9" x14ac:dyDescent="0.3">
      <c r="A50" s="2" t="s">
        <v>23</v>
      </c>
      <c r="B50" s="9">
        <v>245</v>
      </c>
      <c r="C50" s="1">
        <f>(((B50-B41)/5)/2)</f>
        <v>5.5</v>
      </c>
      <c r="D50">
        <f>B50/5</f>
        <v>49</v>
      </c>
      <c r="E50" s="12" t="s">
        <v>16</v>
      </c>
      <c r="F50" s="13"/>
      <c r="G50" s="13"/>
      <c r="H50" s="13"/>
      <c r="I50" s="13"/>
    </row>
    <row r="52" spans="1:9" x14ac:dyDescent="0.3">
      <c r="A52" s="2" t="s">
        <v>3</v>
      </c>
      <c r="B52" s="6" t="s">
        <v>43</v>
      </c>
      <c r="C52" s="4" t="s">
        <v>41</v>
      </c>
      <c r="F52" s="13" t="s">
        <v>6</v>
      </c>
      <c r="G52" s="13" t="s">
        <v>7</v>
      </c>
      <c r="H52" s="13" t="s">
        <v>6</v>
      </c>
      <c r="I52" s="13" t="s">
        <v>7</v>
      </c>
    </row>
    <row r="53" spans="1:9" x14ac:dyDescent="0.3">
      <c r="A53" s="2" t="s">
        <v>8</v>
      </c>
      <c r="B53" s="6" t="s">
        <v>38</v>
      </c>
      <c r="C53" s="3"/>
      <c r="F53" t="s">
        <v>10</v>
      </c>
      <c r="G53" s="11">
        <v>5</v>
      </c>
      <c r="H53" t="s">
        <v>11</v>
      </c>
      <c r="I53" s="11">
        <v>2</v>
      </c>
    </row>
    <row r="54" spans="1:9" x14ac:dyDescent="0.3">
      <c r="A54" s="2" t="s">
        <v>12</v>
      </c>
      <c r="B54" s="6">
        <f>B46+1</f>
        <v>7</v>
      </c>
      <c r="C54" s="5"/>
      <c r="E54" s="12" t="s">
        <v>5</v>
      </c>
      <c r="F54" s="13" t="s">
        <v>13</v>
      </c>
      <c r="G54" s="14">
        <v>3</v>
      </c>
      <c r="H54" s="13" t="s">
        <v>14</v>
      </c>
      <c r="I54" s="14">
        <v>0</v>
      </c>
    </row>
    <row r="55" spans="1:9" x14ac:dyDescent="0.3">
      <c r="A55" s="2" t="s">
        <v>15</v>
      </c>
      <c r="B55" s="9">
        <v>12</v>
      </c>
      <c r="C55" s="1">
        <f>B55</f>
        <v>12</v>
      </c>
      <c r="E55" s="12" t="s">
        <v>16</v>
      </c>
      <c r="F55" s="13" t="s">
        <v>17</v>
      </c>
      <c r="G55" s="14">
        <v>2</v>
      </c>
      <c r="H55" s="13" t="s">
        <v>18</v>
      </c>
      <c r="I55" s="14">
        <v>1</v>
      </c>
    </row>
    <row r="56" spans="1:9" x14ac:dyDescent="0.3">
      <c r="A56" s="2" t="s">
        <v>42</v>
      </c>
      <c r="B56" s="9">
        <v>24</v>
      </c>
      <c r="C56" s="1">
        <f>B56</f>
        <v>24</v>
      </c>
      <c r="E56" s="12" t="s">
        <v>16</v>
      </c>
      <c r="F56" s="13" t="s">
        <v>21</v>
      </c>
      <c r="G56" s="14">
        <v>2</v>
      </c>
      <c r="H56" s="13" t="s">
        <v>22</v>
      </c>
      <c r="I56" s="14">
        <v>0</v>
      </c>
    </row>
    <row r="57" spans="1:9" x14ac:dyDescent="0.3">
      <c r="A57" s="2" t="s">
        <v>19</v>
      </c>
      <c r="B57" s="9">
        <v>74</v>
      </c>
      <c r="C57" s="1"/>
      <c r="E57" s="12" t="s">
        <v>16</v>
      </c>
      <c r="F57" s="13"/>
      <c r="G57" s="13"/>
      <c r="H57" s="13" t="s">
        <v>24</v>
      </c>
      <c r="I57" s="14">
        <v>139</v>
      </c>
    </row>
    <row r="58" spans="1:9" x14ac:dyDescent="0.3">
      <c r="A58" s="2" t="s">
        <v>23</v>
      </c>
      <c r="B58" s="9">
        <v>245</v>
      </c>
      <c r="C58" s="1">
        <v>0</v>
      </c>
      <c r="E58" s="12" t="s">
        <v>16</v>
      </c>
      <c r="F58" s="13"/>
      <c r="G58" s="13"/>
      <c r="H58" s="13"/>
      <c r="I58" s="13"/>
    </row>
    <row r="60" spans="1:9" x14ac:dyDescent="0.3">
      <c r="A60" s="2" t="s">
        <v>3</v>
      </c>
      <c r="B60" s="6" t="s">
        <v>43</v>
      </c>
      <c r="C60" s="4" t="s">
        <v>41</v>
      </c>
      <c r="F60" s="13" t="s">
        <v>6</v>
      </c>
      <c r="G60" s="13" t="s">
        <v>7</v>
      </c>
      <c r="H60" s="13" t="s">
        <v>6</v>
      </c>
      <c r="I60" s="13" t="s">
        <v>7</v>
      </c>
    </row>
    <row r="61" spans="1:9" x14ac:dyDescent="0.3">
      <c r="A61" s="2" t="s">
        <v>8</v>
      </c>
      <c r="B61" s="6" t="s">
        <v>38</v>
      </c>
      <c r="C61" s="3"/>
      <c r="F61" t="s">
        <v>10</v>
      </c>
      <c r="G61" s="11">
        <v>1</v>
      </c>
      <c r="H61" t="s">
        <v>11</v>
      </c>
      <c r="I61" s="11">
        <v>0</v>
      </c>
    </row>
    <row r="62" spans="1:9" x14ac:dyDescent="0.3">
      <c r="A62" s="2" t="s">
        <v>12</v>
      </c>
      <c r="B62" s="6">
        <f>B54+1</f>
        <v>8</v>
      </c>
      <c r="C62" s="5"/>
      <c r="E62" s="12" t="s">
        <v>5</v>
      </c>
      <c r="F62" s="13" t="s">
        <v>13</v>
      </c>
      <c r="G62" s="14">
        <v>1</v>
      </c>
      <c r="H62" s="13" t="s">
        <v>14</v>
      </c>
      <c r="I62" s="14">
        <v>1</v>
      </c>
    </row>
    <row r="63" spans="1:9" x14ac:dyDescent="0.3">
      <c r="A63" s="2" t="s">
        <v>15</v>
      </c>
      <c r="B63" s="9">
        <v>0</v>
      </c>
      <c r="C63" s="1">
        <f>B63</f>
        <v>0</v>
      </c>
      <c r="E63" s="12" t="s">
        <v>16</v>
      </c>
      <c r="F63" s="13" t="s">
        <v>17</v>
      </c>
      <c r="G63" s="14">
        <v>0</v>
      </c>
      <c r="H63" s="13" t="s">
        <v>18</v>
      </c>
      <c r="I63" s="14">
        <v>0</v>
      </c>
    </row>
    <row r="64" spans="1:9" x14ac:dyDescent="0.3">
      <c r="A64" s="2" t="s">
        <v>42</v>
      </c>
      <c r="B64" s="9">
        <v>3</v>
      </c>
      <c r="C64" s="1">
        <f>B64</f>
        <v>3</v>
      </c>
      <c r="E64" s="12" t="s">
        <v>16</v>
      </c>
      <c r="F64" s="13" t="s">
        <v>21</v>
      </c>
      <c r="G64" s="14">
        <v>0</v>
      </c>
      <c r="H64" s="13" t="s">
        <v>22</v>
      </c>
      <c r="I64" s="14">
        <v>0</v>
      </c>
    </row>
    <row r="65" spans="1:9" x14ac:dyDescent="0.3">
      <c r="A65" s="2" t="s">
        <v>19</v>
      </c>
      <c r="B65" s="9">
        <v>3</v>
      </c>
      <c r="C65" s="1"/>
      <c r="E65" s="12" t="s">
        <v>16</v>
      </c>
      <c r="F65" s="13"/>
      <c r="G65" s="13"/>
      <c r="H65" s="13" t="s">
        <v>24</v>
      </c>
      <c r="I65" s="14">
        <v>0</v>
      </c>
    </row>
    <row r="66" spans="1:9" x14ac:dyDescent="0.3">
      <c r="A66" s="2" t="s">
        <v>23</v>
      </c>
      <c r="B66" s="9">
        <v>245</v>
      </c>
      <c r="C66" s="1">
        <v>0</v>
      </c>
      <c r="E66" s="12" t="s">
        <v>16</v>
      </c>
      <c r="F66" s="13"/>
      <c r="G66" s="13"/>
      <c r="H66" s="13"/>
      <c r="I66" s="13"/>
    </row>
    <row r="68" spans="1:9" x14ac:dyDescent="0.3">
      <c r="A68" s="2" t="s">
        <v>3</v>
      </c>
      <c r="B68" s="6" t="s">
        <v>43</v>
      </c>
      <c r="C68" s="4" t="s">
        <v>41</v>
      </c>
      <c r="F68" s="13" t="s">
        <v>6</v>
      </c>
      <c r="G68" s="13" t="s">
        <v>7</v>
      </c>
      <c r="H68" s="13" t="s">
        <v>6</v>
      </c>
      <c r="I68" s="13" t="s">
        <v>7</v>
      </c>
    </row>
    <row r="69" spans="1:9" x14ac:dyDescent="0.3">
      <c r="A69" s="2" t="s">
        <v>8</v>
      </c>
      <c r="B69" s="6" t="s">
        <v>38</v>
      </c>
      <c r="C69" s="3"/>
      <c r="F69" t="s">
        <v>10</v>
      </c>
      <c r="G69" s="11">
        <v>1</v>
      </c>
      <c r="H69" t="s">
        <v>11</v>
      </c>
      <c r="I69" s="11">
        <v>0</v>
      </c>
    </row>
    <row r="70" spans="1:9" x14ac:dyDescent="0.3">
      <c r="A70" s="2" t="s">
        <v>12</v>
      </c>
      <c r="B70" s="6">
        <f>B62+1</f>
        <v>9</v>
      </c>
      <c r="C70" s="5"/>
      <c r="E70" s="12" t="s">
        <v>5</v>
      </c>
      <c r="F70" s="13" t="s">
        <v>13</v>
      </c>
      <c r="G70" s="14">
        <v>0</v>
      </c>
      <c r="H70" s="13" t="s">
        <v>14</v>
      </c>
      <c r="I70" s="14">
        <v>0</v>
      </c>
    </row>
    <row r="71" spans="1:9" x14ac:dyDescent="0.3">
      <c r="A71" s="2" t="s">
        <v>15</v>
      </c>
      <c r="B71" s="9">
        <v>0</v>
      </c>
      <c r="C71" s="1">
        <f>B71</f>
        <v>0</v>
      </c>
      <c r="E71" s="12" t="s">
        <v>16</v>
      </c>
      <c r="F71" s="13" t="s">
        <v>17</v>
      </c>
      <c r="G71" s="14">
        <v>0</v>
      </c>
      <c r="H71" s="13" t="s">
        <v>18</v>
      </c>
      <c r="I71" s="14">
        <v>0</v>
      </c>
    </row>
    <row r="72" spans="1:9" x14ac:dyDescent="0.3">
      <c r="A72" s="2" t="s">
        <v>42</v>
      </c>
      <c r="B72" s="9">
        <v>0</v>
      </c>
      <c r="C72" s="1">
        <f>B72</f>
        <v>0</v>
      </c>
      <c r="E72" s="12" t="s">
        <v>16</v>
      </c>
      <c r="F72" s="13" t="s">
        <v>21</v>
      </c>
      <c r="G72" s="14">
        <v>0</v>
      </c>
      <c r="H72" s="13" t="s">
        <v>22</v>
      </c>
      <c r="I72" s="14">
        <v>0</v>
      </c>
    </row>
    <row r="73" spans="1:9" x14ac:dyDescent="0.3">
      <c r="A73" s="2" t="s">
        <v>19</v>
      </c>
      <c r="B73" s="9">
        <v>2</v>
      </c>
      <c r="C73" s="1"/>
      <c r="E73" s="12" t="s">
        <v>16</v>
      </c>
      <c r="F73" s="13"/>
      <c r="G73" s="13"/>
      <c r="H73" s="13" t="s">
        <v>24</v>
      </c>
      <c r="I73" s="14">
        <v>0</v>
      </c>
    </row>
    <row r="74" spans="1:9" x14ac:dyDescent="0.3">
      <c r="A74" s="2" t="s">
        <v>23</v>
      </c>
      <c r="B74" s="9">
        <v>245</v>
      </c>
      <c r="C74" s="1">
        <v>0</v>
      </c>
      <c r="E74" s="12" t="s">
        <v>16</v>
      </c>
      <c r="F74" s="13"/>
      <c r="G74" s="13"/>
      <c r="H74" s="13"/>
      <c r="I74" s="13"/>
    </row>
  </sheetData>
  <mergeCells count="1">
    <mergeCell ref="A1:C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5"/>
  <sheetViews>
    <sheetView topLeftCell="C1" workbookViewId="0">
      <selection activeCell="U3" sqref="U3:U11"/>
    </sheetView>
  </sheetViews>
  <sheetFormatPr defaultRowHeight="14.4" x14ac:dyDescent="0.3"/>
  <cols>
    <col min="2" max="2" width="15.21875" style="15" bestFit="1" customWidth="1"/>
    <col min="7" max="7" width="2.21875" style="7" customWidth="1"/>
    <col min="11" max="11" width="1.77734375" style="7" customWidth="1"/>
    <col min="12" max="22" width="8.88671875" style="15" customWidth="1"/>
    <col min="23" max="23" width="1.44140625" style="7" customWidth="1"/>
  </cols>
  <sheetData>
    <row r="1" spans="1:28" x14ac:dyDescent="0.3">
      <c r="D1" s="12" t="s">
        <v>44</v>
      </c>
      <c r="E1" s="12" t="s">
        <v>44</v>
      </c>
      <c r="F1" s="12" t="s">
        <v>45</v>
      </c>
      <c r="G1" s="8"/>
      <c r="H1" s="12" t="s">
        <v>46</v>
      </c>
      <c r="I1" s="12" t="s">
        <v>46</v>
      </c>
      <c r="J1" s="12" t="s">
        <v>47</v>
      </c>
      <c r="K1" s="8"/>
      <c r="L1" s="10" t="s">
        <v>19</v>
      </c>
      <c r="M1" s="19" t="s">
        <v>10</v>
      </c>
      <c r="N1" s="19" t="s">
        <v>65</v>
      </c>
      <c r="O1" s="19" t="s">
        <v>66</v>
      </c>
      <c r="P1" s="19" t="s">
        <v>67</v>
      </c>
      <c r="Q1" s="19" t="s">
        <v>68</v>
      </c>
      <c r="R1" s="19" t="s">
        <v>69</v>
      </c>
      <c r="S1" s="19" t="s">
        <v>70</v>
      </c>
      <c r="T1" s="19" t="s">
        <v>71</v>
      </c>
      <c r="U1" s="19" t="s">
        <v>72</v>
      </c>
      <c r="V1" s="19" t="s">
        <v>24</v>
      </c>
      <c r="X1" t="s">
        <v>48</v>
      </c>
      <c r="AA1" t="s">
        <v>49</v>
      </c>
    </row>
    <row r="2" spans="1:28" x14ac:dyDescent="0.3">
      <c r="A2" t="s">
        <v>50</v>
      </c>
      <c r="B2" t="s">
        <v>51</v>
      </c>
      <c r="D2" s="12" t="s">
        <v>52</v>
      </c>
      <c r="E2" s="12" t="s">
        <v>53</v>
      </c>
      <c r="F2" s="12" t="s">
        <v>52</v>
      </c>
      <c r="G2" s="8"/>
      <c r="H2" s="12" t="s">
        <v>52</v>
      </c>
      <c r="I2" s="12" t="s">
        <v>53</v>
      </c>
      <c r="J2" s="12" t="s">
        <v>52</v>
      </c>
      <c r="K2" s="8"/>
      <c r="L2" s="13" t="s">
        <v>7</v>
      </c>
      <c r="M2" s="13" t="s">
        <v>7</v>
      </c>
      <c r="N2" s="13" t="s">
        <v>7</v>
      </c>
      <c r="O2" s="13" t="s">
        <v>7</v>
      </c>
      <c r="P2" s="13" t="s">
        <v>7</v>
      </c>
      <c r="Q2" s="13" t="s">
        <v>7</v>
      </c>
      <c r="R2" s="13" t="s">
        <v>7</v>
      </c>
      <c r="S2" s="13" t="s">
        <v>7</v>
      </c>
      <c r="T2" s="13" t="s">
        <v>7</v>
      </c>
      <c r="U2" s="13" t="s">
        <v>73</v>
      </c>
      <c r="V2" s="13" t="s">
        <v>7</v>
      </c>
      <c r="X2">
        <v>3.5</v>
      </c>
      <c r="Y2">
        <v>0</v>
      </c>
      <c r="AA2">
        <v>11.5</v>
      </c>
      <c r="AB2">
        <v>0</v>
      </c>
    </row>
    <row r="3" spans="1:28" x14ac:dyDescent="0.3">
      <c r="A3">
        <v>1</v>
      </c>
      <c r="B3" t="str">
        <f>'Data Entry'!B6</f>
        <v>Baseline</v>
      </c>
      <c r="C3">
        <v>1</v>
      </c>
      <c r="D3">
        <f>'Data Entry'!C8</f>
        <v>28</v>
      </c>
      <c r="E3">
        <f>'Data Entry'!C11</f>
        <v>9</v>
      </c>
      <c r="F3">
        <f>D3</f>
        <v>28</v>
      </c>
      <c r="H3" t="e">
        <v>#N/A</v>
      </c>
      <c r="I3" t="e">
        <v>#N/A</v>
      </c>
      <c r="J3" t="e">
        <v>#N/A</v>
      </c>
      <c r="L3">
        <f>'Data Entry'!B10</f>
        <v>30</v>
      </c>
      <c r="M3" s="15">
        <f>'Data Entry'!$G7</f>
        <v>3</v>
      </c>
      <c r="N3" s="15">
        <f>'Data Entry'!$G8</f>
        <v>2</v>
      </c>
      <c r="O3" s="15">
        <f>'Data Entry'!$G16</f>
        <v>1</v>
      </c>
      <c r="P3" s="15">
        <f>'Data Entry'!$G10</f>
        <v>2</v>
      </c>
      <c r="Q3" s="15">
        <f>'Data Entry'!I7</f>
        <v>2</v>
      </c>
      <c r="R3" s="15">
        <f>'Data Entry'!I15</f>
        <v>1</v>
      </c>
      <c r="S3" s="15">
        <f>'Data Entry'!I9</f>
        <v>0</v>
      </c>
      <c r="T3" s="15">
        <f>'Data Entry'!I10</f>
        <v>1</v>
      </c>
      <c r="U3" s="15">
        <f>R3+S3+T3</f>
        <v>2</v>
      </c>
      <c r="V3" s="15">
        <f>'Data Entry'!I11</f>
        <v>63</v>
      </c>
      <c r="X3">
        <v>3.5</v>
      </c>
      <c r="Y3">
        <v>1000</v>
      </c>
      <c r="AA3">
        <v>11.5</v>
      </c>
      <c r="AB3">
        <v>1000</v>
      </c>
    </row>
    <row r="4" spans="1:28" x14ac:dyDescent="0.3">
      <c r="A4">
        <v>2</v>
      </c>
      <c r="B4" t="str">
        <f>'Data Entry'!B13</f>
        <v>Baseline</v>
      </c>
      <c r="C4">
        <v>2</v>
      </c>
      <c r="D4">
        <f>'Data Entry'!C15</f>
        <v>24</v>
      </c>
      <c r="E4">
        <f>'Data Entry'!C18</f>
        <v>6</v>
      </c>
      <c r="F4">
        <f>D4</f>
        <v>24</v>
      </c>
      <c r="H4" t="e">
        <v>#N/A</v>
      </c>
      <c r="I4" t="e">
        <v>#N/A</v>
      </c>
      <c r="J4" t="e">
        <v>#N/A</v>
      </c>
      <c r="L4">
        <f>'Data Entry'!B17</f>
        <v>13</v>
      </c>
      <c r="M4" s="15">
        <f>'Data Entry'!$G14</f>
        <v>3</v>
      </c>
      <c r="N4" s="15">
        <f>'Data Entry'!$G15</f>
        <v>2</v>
      </c>
      <c r="O4" s="15">
        <f>'Data Entry'!$G10</f>
        <v>2</v>
      </c>
      <c r="P4" s="15">
        <f>'Data Entry'!$G16</f>
        <v>1</v>
      </c>
      <c r="Q4" s="15">
        <f>'Data Entry'!I14</f>
        <v>0</v>
      </c>
      <c r="R4" s="15">
        <f>'Data Entry'!I15</f>
        <v>1</v>
      </c>
      <c r="S4" s="15">
        <f>'Data Entry'!I16</f>
        <v>1</v>
      </c>
      <c r="T4" s="15">
        <f>'Data Entry'!I17</f>
        <v>1</v>
      </c>
      <c r="U4" s="15">
        <f t="shared" ref="U4:U11" si="0">R4+S4+T4</f>
        <v>3</v>
      </c>
      <c r="V4" s="15">
        <f>'Data Entry'!I18</f>
        <v>0</v>
      </c>
    </row>
    <row r="5" spans="1:28" x14ac:dyDescent="0.3">
      <c r="A5">
        <v>3</v>
      </c>
      <c r="B5" t="str">
        <f>'Data Entry'!B20</f>
        <v>Baseline</v>
      </c>
      <c r="C5">
        <v>3</v>
      </c>
      <c r="D5">
        <f>'Data Entry'!C22</f>
        <v>11</v>
      </c>
      <c r="E5">
        <f>'Data Entry'!C25</f>
        <v>4</v>
      </c>
      <c r="F5">
        <f>D5</f>
        <v>11</v>
      </c>
      <c r="H5" t="e">
        <v>#N/A</v>
      </c>
      <c r="I5" t="e">
        <v>#N/A</v>
      </c>
      <c r="J5" t="e">
        <v>#N/A</v>
      </c>
      <c r="L5">
        <f>'Data Entry'!B24</f>
        <v>22</v>
      </c>
      <c r="M5" s="15">
        <f>'Data Entry'!$G21</f>
        <v>3</v>
      </c>
      <c r="N5" s="15">
        <f>'Data Entry'!$G22</f>
        <v>2</v>
      </c>
      <c r="O5" s="15">
        <f>'Data Entry'!$G23</f>
        <v>1</v>
      </c>
      <c r="P5" s="15">
        <f>'Data Entry'!$G24</f>
        <v>0</v>
      </c>
      <c r="Q5" s="15">
        <f>'Data Entry'!I21</f>
        <v>1</v>
      </c>
      <c r="R5" s="15">
        <f>'Data Entry'!I22</f>
        <v>0</v>
      </c>
      <c r="S5" s="15">
        <f>'Data Entry'!I23</f>
        <v>0</v>
      </c>
      <c r="T5" s="15">
        <f>'Data Entry'!I24</f>
        <v>0</v>
      </c>
      <c r="U5" s="15">
        <f t="shared" si="0"/>
        <v>0</v>
      </c>
      <c r="V5" s="15">
        <f>'Data Entry'!I25</f>
        <v>18</v>
      </c>
      <c r="X5">
        <v>6.5</v>
      </c>
      <c r="Y5">
        <v>0</v>
      </c>
      <c r="AA5">
        <v>12.5</v>
      </c>
      <c r="AB5">
        <v>0</v>
      </c>
    </row>
    <row r="6" spans="1:28" x14ac:dyDescent="0.3">
      <c r="A6">
        <v>4</v>
      </c>
      <c r="B6" t="str">
        <f>'Data Entry'!B45</f>
        <v>Treatment</v>
      </c>
      <c r="C6">
        <v>4</v>
      </c>
      <c r="D6">
        <f>'Data Entry'!C29</f>
        <v>5</v>
      </c>
      <c r="E6">
        <v>0</v>
      </c>
      <c r="F6">
        <f>D6</f>
        <v>5</v>
      </c>
      <c r="H6">
        <f>'Data Entry'!C31</f>
        <v>27</v>
      </c>
      <c r="I6">
        <f>'Data Entry'!C33</f>
        <v>5</v>
      </c>
      <c r="J6" t="e">
        <v>#N/A</v>
      </c>
      <c r="L6">
        <f>'Data Entry'!B32</f>
        <v>44</v>
      </c>
      <c r="M6" s="15">
        <f>'Data Entry'!$G28</f>
        <v>4</v>
      </c>
      <c r="N6" s="15">
        <f>'Data Entry'!$G29</f>
        <v>2</v>
      </c>
      <c r="O6" s="15">
        <f>'Data Entry'!$G30</f>
        <v>0</v>
      </c>
      <c r="P6" s="15">
        <f>'Data Entry'!$G31</f>
        <v>2</v>
      </c>
      <c r="Q6" s="15">
        <f>'Data Entry'!I28</f>
        <v>1</v>
      </c>
      <c r="R6" s="15">
        <f>'Data Entry'!I29</f>
        <v>0</v>
      </c>
      <c r="S6" s="15">
        <f>'Data Entry'!I30</f>
        <v>0</v>
      </c>
      <c r="T6" s="15">
        <f>'Data Entry'!I31</f>
        <v>1</v>
      </c>
      <c r="U6" s="15">
        <f t="shared" si="0"/>
        <v>1</v>
      </c>
      <c r="V6" s="15">
        <f>'Data Entry'!I32</f>
        <v>1</v>
      </c>
      <c r="X6">
        <v>6.5</v>
      </c>
      <c r="Y6">
        <v>1000</v>
      </c>
      <c r="AA6">
        <v>12.5</v>
      </c>
      <c r="AB6">
        <v>1000</v>
      </c>
    </row>
    <row r="7" spans="1:28" x14ac:dyDescent="0.3">
      <c r="A7">
        <v>5</v>
      </c>
      <c r="B7" t="str">
        <f>'Data Entry'!B53</f>
        <v>Treatment</v>
      </c>
      <c r="C7">
        <v>5</v>
      </c>
      <c r="D7">
        <f>'Data Entry'!$C37</f>
        <v>0</v>
      </c>
      <c r="E7">
        <v>0</v>
      </c>
      <c r="F7">
        <f>D7</f>
        <v>0</v>
      </c>
      <c r="H7">
        <f>'Data Entry'!C39</f>
        <v>41</v>
      </c>
      <c r="I7">
        <f>'Data Entry'!C41</f>
        <v>4.5</v>
      </c>
      <c r="J7" t="e">
        <v>#N/A</v>
      </c>
      <c r="L7">
        <f>'Data Entry'!B40</f>
        <v>42</v>
      </c>
      <c r="M7" s="15">
        <f>'Data Entry'!$G36</f>
        <v>2</v>
      </c>
      <c r="N7" s="15">
        <f>'Data Entry'!$G37</f>
        <v>0</v>
      </c>
      <c r="O7" s="15">
        <f>'Data Entry'!$G38</f>
        <v>2</v>
      </c>
      <c r="P7" s="15">
        <f>'Data Entry'!$G39</f>
        <v>2</v>
      </c>
      <c r="Q7" s="15">
        <f>'Data Entry'!I36</f>
        <v>0</v>
      </c>
      <c r="R7" s="15">
        <f>'Data Entry'!I37</f>
        <v>1</v>
      </c>
      <c r="S7" s="15">
        <f>'Data Entry'!I38</f>
        <v>0</v>
      </c>
      <c r="T7" s="15">
        <f>'Data Entry'!I39</f>
        <v>0</v>
      </c>
      <c r="U7" s="15">
        <f t="shared" si="0"/>
        <v>1</v>
      </c>
      <c r="V7" s="15">
        <f>'Data Entry'!I40</f>
        <v>3</v>
      </c>
    </row>
    <row r="8" spans="1:28" x14ac:dyDescent="0.3">
      <c r="A8">
        <v>6</v>
      </c>
      <c r="B8" t="str">
        <f>'Data Entry'!B61</f>
        <v>Treatment</v>
      </c>
      <c r="C8">
        <v>6</v>
      </c>
      <c r="D8">
        <f>'Data Entry'!$C47</f>
        <v>0</v>
      </c>
      <c r="E8">
        <v>0</v>
      </c>
      <c r="F8">
        <f>'Data Entry'!C47</f>
        <v>0</v>
      </c>
      <c r="H8">
        <f>'Data Entry'!$C48</f>
        <v>34</v>
      </c>
      <c r="I8">
        <f>'Data Entry'!$C50</f>
        <v>5.5</v>
      </c>
      <c r="J8">
        <f>D8</f>
        <v>0</v>
      </c>
      <c r="L8">
        <f>'Data Entry'!B49</f>
        <v>57</v>
      </c>
      <c r="M8" s="15">
        <f>'Data Entry'!$G45</f>
        <v>3</v>
      </c>
      <c r="N8" s="15">
        <f>'Data Entry'!$G46</f>
        <v>2</v>
      </c>
      <c r="O8" s="15">
        <f>'Data Entry'!$G47</f>
        <v>1</v>
      </c>
      <c r="P8" s="15">
        <f>'Data Entry'!$G48</f>
        <v>1</v>
      </c>
      <c r="Q8" s="15">
        <f>'Data Entry'!I45</f>
        <v>1</v>
      </c>
      <c r="R8" s="15">
        <f>'Data Entry'!I46</f>
        <v>0</v>
      </c>
      <c r="S8" s="15">
        <f>'Data Entry'!I47</f>
        <v>0</v>
      </c>
      <c r="T8" s="15">
        <f>'Data Entry'!I48</f>
        <v>0</v>
      </c>
      <c r="U8" s="15">
        <f t="shared" si="0"/>
        <v>0</v>
      </c>
      <c r="V8" s="15">
        <f>'Data Entry'!I49</f>
        <v>120</v>
      </c>
      <c r="AA8">
        <v>13.5</v>
      </c>
      <c r="AB8">
        <v>0</v>
      </c>
    </row>
    <row r="9" spans="1:28" x14ac:dyDescent="0.3">
      <c r="A9">
        <v>7</v>
      </c>
      <c r="B9" t="s">
        <v>54</v>
      </c>
      <c r="C9">
        <v>7</v>
      </c>
      <c r="D9">
        <f>'Data Entry'!$C55</f>
        <v>12</v>
      </c>
      <c r="E9">
        <v>0</v>
      </c>
      <c r="F9">
        <f>'Data Entry'!C55</f>
        <v>12</v>
      </c>
      <c r="H9">
        <f>'Data Entry'!$C56</f>
        <v>24</v>
      </c>
      <c r="I9">
        <f>'Data Entry'!$C58</f>
        <v>0</v>
      </c>
      <c r="J9">
        <f>D9</f>
        <v>12</v>
      </c>
      <c r="L9">
        <f>'Data Entry'!B57</f>
        <v>74</v>
      </c>
      <c r="M9" s="15">
        <f>'Data Entry'!$G53</f>
        <v>5</v>
      </c>
      <c r="N9" s="15">
        <f>'Data Entry'!$G54</f>
        <v>3</v>
      </c>
      <c r="O9" s="15">
        <f>'Data Entry'!$G55</f>
        <v>2</v>
      </c>
      <c r="P9" s="15">
        <f>'Data Entry'!$G56</f>
        <v>2</v>
      </c>
      <c r="Q9" s="15">
        <f>'Data Entry'!I53</f>
        <v>2</v>
      </c>
      <c r="R9" s="15">
        <f>'Data Entry'!I54</f>
        <v>0</v>
      </c>
      <c r="S9" s="15">
        <f>'Data Entry'!I55</f>
        <v>1</v>
      </c>
      <c r="T9" s="15">
        <f>'Data Entry'!I56</f>
        <v>0</v>
      </c>
      <c r="U9" s="15">
        <f t="shared" si="0"/>
        <v>1</v>
      </c>
      <c r="V9" s="15">
        <f>'Data Entry'!I57</f>
        <v>139</v>
      </c>
      <c r="AA9">
        <v>13.5</v>
      </c>
      <c r="AB9">
        <v>1000</v>
      </c>
    </row>
    <row r="10" spans="1:28" x14ac:dyDescent="0.3">
      <c r="A10">
        <v>8</v>
      </c>
      <c r="B10" t="s">
        <v>55</v>
      </c>
      <c r="C10">
        <v>8</v>
      </c>
      <c r="D10">
        <f>'Data Entry'!$C63</f>
        <v>0</v>
      </c>
      <c r="E10">
        <v>0</v>
      </c>
      <c r="F10">
        <f>'Data Entry'!C63</f>
        <v>0</v>
      </c>
      <c r="H10">
        <f>'Data Entry'!$C64</f>
        <v>3</v>
      </c>
      <c r="I10">
        <f>'Data Entry'!$C66</f>
        <v>0</v>
      </c>
      <c r="J10">
        <f>D10</f>
        <v>0</v>
      </c>
      <c r="L10">
        <f>'Data Entry'!B65</f>
        <v>3</v>
      </c>
      <c r="M10" s="15">
        <f>'Data Entry'!$G61</f>
        <v>1</v>
      </c>
      <c r="N10" s="15">
        <f>'Data Entry'!$G62</f>
        <v>1</v>
      </c>
      <c r="O10" s="15">
        <f>'Data Entry'!$G63</f>
        <v>0</v>
      </c>
      <c r="P10" s="15">
        <f>'Data Entry'!$G64</f>
        <v>0</v>
      </c>
      <c r="Q10" s="15">
        <f>'Data Entry'!I61</f>
        <v>0</v>
      </c>
      <c r="R10" s="15">
        <f>'Data Entry'!I62</f>
        <v>1</v>
      </c>
      <c r="S10" s="15">
        <f>'Data Entry'!I63</f>
        <v>0</v>
      </c>
      <c r="T10" s="15">
        <f>'Data Entry'!I64</f>
        <v>0</v>
      </c>
      <c r="U10" s="15">
        <f t="shared" si="0"/>
        <v>1</v>
      </c>
      <c r="V10" s="15">
        <f>'Data Entry'!I65</f>
        <v>0</v>
      </c>
    </row>
    <row r="11" spans="1:28" x14ac:dyDescent="0.3">
      <c r="A11">
        <v>9</v>
      </c>
      <c r="B11" t="s">
        <v>54</v>
      </c>
      <c r="C11">
        <v>9</v>
      </c>
      <c r="D11">
        <f>'Data Entry'!$C71</f>
        <v>0</v>
      </c>
      <c r="E11">
        <v>0</v>
      </c>
      <c r="F11">
        <f>'Data Entry'!C71</f>
        <v>0</v>
      </c>
      <c r="H11">
        <f>'Data Entry'!$C72</f>
        <v>0</v>
      </c>
      <c r="I11">
        <f>'Data Entry'!$C74</f>
        <v>0</v>
      </c>
      <c r="J11">
        <f>D11</f>
        <v>0</v>
      </c>
      <c r="L11">
        <f>'Data Entry'!B73</f>
        <v>2</v>
      </c>
      <c r="M11" s="15">
        <f>'Data Entry'!$G69</f>
        <v>1</v>
      </c>
      <c r="N11" s="15">
        <f>'Data Entry'!$G70</f>
        <v>0</v>
      </c>
      <c r="O11" s="15">
        <f>'Data Entry'!$G71</f>
        <v>0</v>
      </c>
      <c r="P11" s="15">
        <f>'Data Entry'!$G72</f>
        <v>0</v>
      </c>
      <c r="Q11" s="15">
        <f>'Data Entry'!I69</f>
        <v>0</v>
      </c>
      <c r="R11" s="15">
        <f>'Data Entry'!I70</f>
        <v>0</v>
      </c>
      <c r="S11" s="15">
        <f>'Data Entry'!I71</f>
        <v>0</v>
      </c>
      <c r="T11" s="15">
        <f>'Data Entry'!I72</f>
        <v>0</v>
      </c>
      <c r="U11" s="15">
        <f t="shared" si="0"/>
        <v>0</v>
      </c>
      <c r="V11" s="15">
        <f>'Data Entry'!I73</f>
        <v>0</v>
      </c>
    </row>
    <row r="12" spans="1:28" x14ac:dyDescent="0.3">
      <c r="A12">
        <v>10</v>
      </c>
      <c r="B12" t="s">
        <v>56</v>
      </c>
    </row>
    <row r="13" spans="1:28" x14ac:dyDescent="0.3">
      <c r="A13">
        <v>11</v>
      </c>
      <c r="B13" t="s">
        <v>57</v>
      </c>
    </row>
    <row r="14" spans="1:28" x14ac:dyDescent="0.3">
      <c r="A14">
        <v>12</v>
      </c>
      <c r="B14" t="s">
        <v>55</v>
      </c>
    </row>
    <row r="15" spans="1:28" x14ac:dyDescent="0.3">
      <c r="A15">
        <v>13</v>
      </c>
      <c r="B15" t="s">
        <v>54</v>
      </c>
    </row>
    <row r="16" spans="1:28" x14ac:dyDescent="0.3">
      <c r="A16">
        <v>14</v>
      </c>
      <c r="B16" t="s">
        <v>55</v>
      </c>
    </row>
    <row r="17" spans="1:2" x14ac:dyDescent="0.3">
      <c r="A17">
        <v>15</v>
      </c>
      <c r="B17" t="s">
        <v>54</v>
      </c>
    </row>
    <row r="18" spans="1:2" x14ac:dyDescent="0.3">
      <c r="A18">
        <v>16</v>
      </c>
      <c r="B18" t="s">
        <v>55</v>
      </c>
    </row>
    <row r="19" spans="1:2" x14ac:dyDescent="0.3">
      <c r="A19">
        <v>17</v>
      </c>
      <c r="B19" t="s">
        <v>54</v>
      </c>
    </row>
    <row r="20" spans="1:2" x14ac:dyDescent="0.3">
      <c r="A20">
        <v>18</v>
      </c>
      <c r="B20" t="s">
        <v>55</v>
      </c>
    </row>
    <row r="21" spans="1:2" x14ac:dyDescent="0.3">
      <c r="A21">
        <v>19</v>
      </c>
      <c r="B21" t="s">
        <v>54</v>
      </c>
    </row>
    <row r="22" spans="1:2" x14ac:dyDescent="0.3">
      <c r="A22">
        <v>20</v>
      </c>
      <c r="B22" t="s">
        <v>55</v>
      </c>
    </row>
    <row r="23" spans="1:2" x14ac:dyDescent="0.3">
      <c r="A23">
        <v>21</v>
      </c>
      <c r="B23" t="s">
        <v>54</v>
      </c>
    </row>
    <row r="24" spans="1:2" x14ac:dyDescent="0.3">
      <c r="A24">
        <v>22</v>
      </c>
      <c r="B24" t="s">
        <v>55</v>
      </c>
    </row>
    <row r="25" spans="1:2" x14ac:dyDescent="0.3">
      <c r="A25">
        <v>23</v>
      </c>
      <c r="B25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workbookViewId="0">
      <selection activeCell="E4" sqref="E4"/>
    </sheetView>
  </sheetViews>
  <sheetFormatPr defaultRowHeight="14.4" x14ac:dyDescent="0.3"/>
  <sheetData>
    <row r="1" spans="1:5" x14ac:dyDescent="0.3">
      <c r="A1" t="s">
        <v>4</v>
      </c>
      <c r="E1" t="s">
        <v>4</v>
      </c>
    </row>
    <row r="2" spans="1:5" x14ac:dyDescent="0.3">
      <c r="A2" t="s">
        <v>38</v>
      </c>
      <c r="E2" t="s">
        <v>38</v>
      </c>
    </row>
    <row r="3" spans="1:5" x14ac:dyDescent="0.3">
      <c r="A3" t="s">
        <v>58</v>
      </c>
      <c r="E3" t="s">
        <v>59</v>
      </c>
    </row>
    <row r="4" spans="1:5" x14ac:dyDescent="0.3">
      <c r="A4" t="s">
        <v>60</v>
      </c>
      <c r="E4" t="s">
        <v>43</v>
      </c>
    </row>
    <row r="5" spans="1:5" x14ac:dyDescent="0.3">
      <c r="A5" t="s">
        <v>61</v>
      </c>
    </row>
    <row r="7" spans="1:5" x14ac:dyDescent="0.3">
      <c r="A7" t="s">
        <v>62</v>
      </c>
    </row>
    <row r="8" spans="1:5" x14ac:dyDescent="0.3">
      <c r="A8" t="s">
        <v>63</v>
      </c>
    </row>
    <row r="9" spans="1:5" x14ac:dyDescent="0.3">
      <c r="A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Data Entry</vt:lpstr>
      <vt:lpstr>Session by Session</vt:lpstr>
      <vt:lpstr>Sheet2</vt:lpstr>
      <vt:lpstr>Rate</vt:lpstr>
      <vt:lpstr>Rate of Reinf</vt:lpstr>
      <vt:lpstr>Asteroids hit</vt:lpstr>
      <vt:lpstr>All Power 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cmauz_000</dc:creator>
  <cp:lastModifiedBy>courtney mauzy</cp:lastModifiedBy>
  <dcterms:created xsi:type="dcterms:W3CDTF">2019-07-08T15:40:40Z</dcterms:created>
  <dcterms:modified xsi:type="dcterms:W3CDTF">2024-02-22T17:16:28Z</dcterms:modified>
</cp:coreProperties>
</file>